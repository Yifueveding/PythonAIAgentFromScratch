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yifuding/Desktop/Rio Tinto/RioTinto-GPSExtract-oneyear/-1201230228827182611/"/>
    </mc:Choice>
  </mc:AlternateContent>
  <xr:revisionPtr revIDLastSave="0" documentId="13_ncr:1_{C710AB36-02F0-B042-950A-29ED9DA6E348}" xr6:coauthVersionLast="47" xr6:coauthVersionMax="47" xr10:uidLastSave="{00000000-0000-0000-0000-000000000000}"/>
  <bookViews>
    <workbookView xWindow="0" yWindow="760" windowWidth="30240" windowHeight="17880" xr2:uid="{B00876DD-5157-4B99-91C0-F01D18763958}"/>
  </bookViews>
  <sheets>
    <sheet name="Sheet2" sheetId="2" r:id="rId1"/>
  </sheets>
  <externalReferences>
    <externalReference r:id="rId2"/>
  </externalReferences>
  <definedNames>
    <definedName name="_xlchart.v1.0" hidden="1">Sheet2!$L$190</definedName>
    <definedName name="_xlchart.v1.1" hidden="1">Sheet2!$L$1:$L$189</definedName>
    <definedName name="_xlchart.v1.2" hidden="1">Sheet2!$L$190</definedName>
    <definedName name="_xlchart.v1.3" hidden="1">Sheet2!$L$1:$L$189</definedName>
    <definedName name="DATA1">[1]Sheet1!$A$2:$A$11693</definedName>
    <definedName name="DATA10">[1]Sheet1!$J$2:$J$11693</definedName>
    <definedName name="DATA11">[1]Sheet1!$K$2:$K$11693</definedName>
    <definedName name="DATA12">[1]Sheet1!$L$2:$L$11693</definedName>
    <definedName name="DATA13">[1]Sheet1!$M$2:$M$11693</definedName>
    <definedName name="DATA14">[1]Sheet1!$N$2:$N$11693</definedName>
    <definedName name="DATA15">[1]Sheet1!$O$2:$O$11693</definedName>
    <definedName name="DATA16">[1]Sheet1!$P$2:$P$11693</definedName>
    <definedName name="DATA17">[1]Sheet1!$Q$2:$Q$11693</definedName>
    <definedName name="DATA18">[1]Sheet1!$R$2:$R$11693</definedName>
    <definedName name="DATA19">[1]Sheet1!$S$2:$S$11693</definedName>
    <definedName name="DATA2">[1]Sheet1!$B$2:$B$11693</definedName>
    <definedName name="DATA20">[1]Sheet1!$T$2:$T$11693</definedName>
    <definedName name="DATA21">[1]Sheet1!$U$2:$U$11693</definedName>
    <definedName name="DATA22">[1]Sheet1!$V$2:$V$11693</definedName>
    <definedName name="DATA23">[1]Sheet1!$W$2:$W$11693</definedName>
    <definedName name="DATA24">[1]Sheet1!$X$2:$X$11693</definedName>
    <definedName name="DATA25">[1]Sheet1!$Y$2:$Y$11693</definedName>
    <definedName name="DATA26">[1]Sheet1!$Z$2:$Z$11693</definedName>
    <definedName name="DATA27">[1]Sheet1!$AA$2:$AA$11693</definedName>
    <definedName name="DATA28">[1]Sheet1!$AB$2:$AB$11693</definedName>
    <definedName name="DATA29">[1]Sheet1!$AC$2:$AC$11693</definedName>
    <definedName name="DATA3">[1]Sheet1!$C$2:$C$11693</definedName>
    <definedName name="DATA30">[1]Sheet1!$AD$2:$AD$11693</definedName>
    <definedName name="DATA31">[1]Sheet1!$AE$2:$AE$11693</definedName>
    <definedName name="DATA32">[1]Sheet1!$AF$2:$AF$11693</definedName>
    <definedName name="DATA33">[1]Sheet1!$AG$2:$AG$11693</definedName>
    <definedName name="DATA34">[1]Sheet1!$AH$2:$AH$11693</definedName>
    <definedName name="DATA35">[1]Sheet1!$AI$2:$AI$11693</definedName>
    <definedName name="DATA36">[1]Sheet1!$AJ$2:$AJ$11693</definedName>
    <definedName name="DATA37">[1]Sheet1!$AK$2:$AK$11693</definedName>
    <definedName name="DATA38">[1]Sheet1!$AL$2:$AL$11693</definedName>
    <definedName name="DATA39">[1]Sheet1!$AM$2:$AM$11693</definedName>
    <definedName name="DATA4">[1]Sheet1!$D$2:$D$11693</definedName>
    <definedName name="DATA40">[1]Sheet1!$AN$2:$AN$11693</definedName>
    <definedName name="DATA41">[1]Sheet1!$AO$2:$AO$11693</definedName>
    <definedName name="DATA42">[1]Sheet1!$AP$2:$AP$11693</definedName>
    <definedName name="DATA43">[1]Sheet1!$AQ$2:$AQ$11693</definedName>
    <definedName name="DATA44">[1]Sheet1!$AR$2:$AR$11693</definedName>
    <definedName name="DATA45">[1]Sheet1!$AS$2:$AS$11693</definedName>
    <definedName name="DATA46">[1]Sheet1!$AT$2:$AT$11693</definedName>
    <definedName name="DATA47">[1]Sheet1!$AU$2:$AU$11693</definedName>
    <definedName name="DATA5">[1]Sheet1!$E$2:$E$11693</definedName>
    <definedName name="DATA6">[1]Sheet1!$F$2:$F$11693</definedName>
    <definedName name="DATA7">[1]Sheet1!$G$2:$G$11693</definedName>
    <definedName name="DATA8">[1]Sheet1!$H$2:$H$11693</definedName>
    <definedName name="DATA9">[1]Sheet1!$I$2:$I$11693</definedName>
    <definedName name="TEST1">[1]Sheet1!$A$2:$AU$427</definedName>
    <definedName name="TEST10">[1]Sheet1!$A$3836:$AU$4261</definedName>
    <definedName name="TEST11">[1]Sheet1!$A$4262:$AU$4687</definedName>
    <definedName name="TEST12">[1]Sheet1!$A$4688:$AU$5113</definedName>
    <definedName name="TEST13">[1]Sheet1!$A$5114:$AU$5539</definedName>
    <definedName name="TEST14">[1]Sheet1!$A$5540:$AU$5965</definedName>
    <definedName name="TEST15">[1]Sheet1!$A$5966:$AU$6391</definedName>
    <definedName name="TEST16">[1]Sheet1!$A$6392:$AU$6817</definedName>
    <definedName name="TEST17">[1]Sheet1!$A$6818:$AU$7243</definedName>
    <definedName name="TEST18">[1]Sheet1!$A$7244:$AU$7669</definedName>
    <definedName name="TEST19">[1]Sheet1!$A$7670:$AU$8095</definedName>
    <definedName name="TEST2">[1]Sheet1!$A$428:$AU$853</definedName>
    <definedName name="TEST20">[1]Sheet1!$A$8096:$AU$8521</definedName>
    <definedName name="TEST21">[1]Sheet1!$A$8522:$AU$8947</definedName>
    <definedName name="TEST22">[1]Sheet1!$A$8948:$AU$9373</definedName>
    <definedName name="TEST23">[1]Sheet1!$A$9374:$AU$9799</definedName>
    <definedName name="TEST24">[1]Sheet1!$A$9800:$AU$10225</definedName>
    <definedName name="TEST25">[1]Sheet1!$A$10226:$AU$10651</definedName>
    <definedName name="TEST26">[1]Sheet1!$A$10652:$AU$11077</definedName>
    <definedName name="TEST27">[1]Sheet1!$A$11504:$AU$11693</definedName>
    <definedName name="TEST3">[1]Sheet1!$A$854:$AU$1279</definedName>
    <definedName name="TEST4">[1]Sheet1!$A$1280:$AU$1705</definedName>
    <definedName name="TEST5">[1]Sheet1!$A$1706:$AU$2131</definedName>
    <definedName name="TEST6">[1]Sheet1!$A$2132:$AU$2557</definedName>
    <definedName name="TEST7">[1]Sheet1!$A$2558:$AU$2983</definedName>
    <definedName name="TEST8">[1]Sheet1!$A$2984:$AU$3409</definedName>
    <definedName name="TEST9">[1]Sheet1!$A$3410:$AU$3835</definedName>
    <definedName name="TESTHKEY">[1]Sheet1!$B$1:$AU$1</definedName>
    <definedName name="TESTKEYS">[1]Sheet1!$A$2:$A$11693</definedName>
    <definedName name="TESTVKEY">[1]Sheet1!$A$1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2" i="2"/>
  <c r="O1" i="2" a="1"/>
  <c r="O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<sst xmlns="http://schemas.openxmlformats.org/spreadsheetml/2006/main" count="1909" uniqueCount="504">
  <si>
    <t>Functional Loc.</t>
  </si>
  <si>
    <t>Asset Type</t>
  </si>
  <si>
    <t>Age</t>
  </si>
  <si>
    <t>Km's</t>
  </si>
  <si>
    <t>Asset Mutual Recogni</t>
  </si>
  <si>
    <t>Output Team</t>
  </si>
  <si>
    <t>Configuration</t>
  </si>
  <si>
    <t>Make</t>
  </si>
  <si>
    <t>Model Number</t>
  </si>
  <si>
    <t>Additional or Replac</t>
  </si>
  <si>
    <t>AHS / CAES System Fi</t>
  </si>
  <si>
    <t>Duty Cycle</t>
  </si>
  <si>
    <t>301803CS6661</t>
  </si>
  <si>
    <t>LIGHT VEHICLE</t>
  </si>
  <si>
    <t>30558479-WEST ANGELAS MEM</t>
  </si>
  <si>
    <t>31343637-MEM SHUT</t>
  </si>
  <si>
    <t>WAGON</t>
  </si>
  <si>
    <t>TOYOTA</t>
  </si>
  <si>
    <t>KDJ150R PRADO GX</t>
  </si>
  <si>
    <t>03H1172</t>
  </si>
  <si>
    <t/>
  </si>
  <si>
    <t>LIGHT</t>
  </si>
  <si>
    <t>301803CS6669</t>
  </si>
  <si>
    <t>31259029-WA FIXED PLANT</t>
  </si>
  <si>
    <t>00128172-PLANT OPERATIONS</t>
  </si>
  <si>
    <t>03H1959</t>
  </si>
  <si>
    <t>301803CS6670</t>
  </si>
  <si>
    <t>00128292-GHD &amp; WAN</t>
  </si>
  <si>
    <t>00128201-TECH SERVICES WA</t>
  </si>
  <si>
    <t>03H31</t>
  </si>
  <si>
    <t>301803CS7864</t>
  </si>
  <si>
    <t>00128591-WEST ANGELAS &amp; ROBE</t>
  </si>
  <si>
    <t>GX WAGON</t>
  </si>
  <si>
    <t>GDJ150R PRADO</t>
  </si>
  <si>
    <t>03H7055</t>
  </si>
  <si>
    <t>MANAGER</t>
  </si>
  <si>
    <t>301803CS8233</t>
  </si>
  <si>
    <t>31503066-UTILITIES MAINT EAST</t>
  </si>
  <si>
    <t>DUAL CAB TRAY</t>
  </si>
  <si>
    <t>GUN26R HILUX</t>
  </si>
  <si>
    <t>03CS7291</t>
  </si>
  <si>
    <t>MEDIUM</t>
  </si>
  <si>
    <t>301803CS8235</t>
  </si>
  <si>
    <t>SINGLE CAB TRAY</t>
  </si>
  <si>
    <t>VDJ79R LANDCRUISER</t>
  </si>
  <si>
    <t>03P5329</t>
  </si>
  <si>
    <t>301803CS8237</t>
  </si>
  <si>
    <t>31466903-UTILITIES MAINT EAST</t>
  </si>
  <si>
    <t>32240394-LME WA &amp; GHD</t>
  </si>
  <si>
    <t>03D6582</t>
  </si>
  <si>
    <t>301803CS8249</t>
  </si>
  <si>
    <t>30611052-SITE COMMS EAST</t>
  </si>
  <si>
    <t>03H6560</t>
  </si>
  <si>
    <t>301803CS8252</t>
  </si>
  <si>
    <t>30149643-MINING WEST ANGELAS</t>
  </si>
  <si>
    <t>31793307-DRILL TEAM 5</t>
  </si>
  <si>
    <t>03R2661</t>
  </si>
  <si>
    <t>AHS</t>
  </si>
  <si>
    <t>301803CS8570</t>
  </si>
  <si>
    <t>31427150-WEST ANGELAS</t>
  </si>
  <si>
    <t>03R6675</t>
  </si>
  <si>
    <t>301803CS8635</t>
  </si>
  <si>
    <t>30723014-UTILITIES WAN &amp; GHD</t>
  </si>
  <si>
    <t>SINGLE CAB TRAY GVM 3950</t>
  </si>
  <si>
    <t>03H1008</t>
  </si>
  <si>
    <t>301803CS8679</t>
  </si>
  <si>
    <t>30723014-UTILITIES YANDI</t>
  </si>
  <si>
    <t>03P5316</t>
  </si>
  <si>
    <t>301803CS8680</t>
  </si>
  <si>
    <t>03P5317</t>
  </si>
  <si>
    <t>301803CS8705</t>
  </si>
  <si>
    <t>31213602-HME DELIVERY PROGRAM</t>
  </si>
  <si>
    <t>31286708-HME DELIVERY</t>
  </si>
  <si>
    <t>03D80</t>
  </si>
  <si>
    <t>301803CS8892</t>
  </si>
  <si>
    <t>31643017-UTILITIES MAINT ENG</t>
  </si>
  <si>
    <t>30379773-ELEC ENGINEERING</t>
  </si>
  <si>
    <t>03H7186</t>
  </si>
  <si>
    <t>301803CS8910</t>
  </si>
  <si>
    <t>30763478-FACILITIES OPERATIONS</t>
  </si>
  <si>
    <t>31099138-FACILITIES OPS EAST</t>
  </si>
  <si>
    <t>03D6581</t>
  </si>
  <si>
    <t>301803CS9198</t>
  </si>
  <si>
    <t>30611052-SITE COMMS EAST PILB</t>
  </si>
  <si>
    <t>03CS6139</t>
  </si>
  <si>
    <t>301803CS9215</t>
  </si>
  <si>
    <t>30723014-UTILITIES WAN &amp; GHD T</t>
  </si>
  <si>
    <t>03CS7287</t>
  </si>
  <si>
    <t>301803CS9216</t>
  </si>
  <si>
    <t>03CS7289</t>
  </si>
  <si>
    <t>301803CS9253</t>
  </si>
  <si>
    <t>32000063-WAN OPER READINESS</t>
  </si>
  <si>
    <t>31883994-OPS READINESS-WANG</t>
  </si>
  <si>
    <t>DUAL CAB WELL BODY</t>
  </si>
  <si>
    <t>03H5421</t>
  </si>
  <si>
    <t>301803CS9263</t>
  </si>
  <si>
    <t>03H6154</t>
  </si>
  <si>
    <t>301803CS9276</t>
  </si>
  <si>
    <t>03H7118</t>
  </si>
  <si>
    <t>301803CS9295</t>
  </si>
  <si>
    <t>GXL WAGON</t>
  </si>
  <si>
    <t>03R216</t>
  </si>
  <si>
    <t>301803CS9297</t>
  </si>
  <si>
    <t>00128201-TECHNICAL SERVICES WA</t>
  </si>
  <si>
    <t>03R2623</t>
  </si>
  <si>
    <t>301803CS9299</t>
  </si>
  <si>
    <t>31799430-DRILL &amp; BLAST PANEL B</t>
  </si>
  <si>
    <t>03R314</t>
  </si>
  <si>
    <t>301803CS9752</t>
  </si>
  <si>
    <t>31712557-ECONOMIC DEV &amp; PART</t>
  </si>
  <si>
    <t>00128078-INDIGENOUS EMPLOY</t>
  </si>
  <si>
    <t>ADDITONAL</t>
  </si>
  <si>
    <t>301803CS9757</t>
  </si>
  <si>
    <t>31712557-ECON DEVEL &amp; PARTICIP</t>
  </si>
  <si>
    <t>00128078-INDIG EMPLOY EAST</t>
  </si>
  <si>
    <t>ADDITIONAL</t>
  </si>
  <si>
    <t>301803CS9778</t>
  </si>
  <si>
    <t>31946239-WAN OPS EXCELLENCE</t>
  </si>
  <si>
    <t>301803CS9794</t>
  </si>
  <si>
    <t>301803CS9795</t>
  </si>
  <si>
    <t>301803CS9800</t>
  </si>
  <si>
    <t>301803CS9801</t>
  </si>
  <si>
    <t>301803CS9831</t>
  </si>
  <si>
    <t>31414997-CAPABILITY DEV - PIPE</t>
  </si>
  <si>
    <t>30997291-VET</t>
  </si>
  <si>
    <t>03CS6068</t>
  </si>
  <si>
    <t>301803CS9832</t>
  </si>
  <si>
    <t>32075034-MP&amp;E GHD &amp; WAN</t>
  </si>
  <si>
    <t>31213562-MP&amp;E WEST ANGELAS</t>
  </si>
  <si>
    <t>03CS6151</t>
  </si>
  <si>
    <t>301803CS9841</t>
  </si>
  <si>
    <t>31213562-MP&amp;E WAN</t>
  </si>
  <si>
    <t>03H5708</t>
  </si>
  <si>
    <t>301803CS9842</t>
  </si>
  <si>
    <t>30796427-PLANT MAINTENANCE</t>
  </si>
  <si>
    <t>03D160</t>
  </si>
  <si>
    <t>301803CS9868</t>
  </si>
  <si>
    <t>31826389-SERVICE EXPERIENCE</t>
  </si>
  <si>
    <t>31384811-PRODUCTION SITE SUPP</t>
  </si>
  <si>
    <t>03H2132</t>
  </si>
  <si>
    <t>301803D6373</t>
  </si>
  <si>
    <t>31175985-HEALTH &amp; SAFETY EAST</t>
  </si>
  <si>
    <t>00128813-HEALTH &amp; SAFETY WA</t>
  </si>
  <si>
    <t>301803D6581</t>
  </si>
  <si>
    <t xml:space="preserve">LIGHT VEHICLE </t>
  </si>
  <si>
    <t>KUN26R HILUX</t>
  </si>
  <si>
    <t>301803H5142</t>
  </si>
  <si>
    <t>32000063-WAN OP READINESS</t>
  </si>
  <si>
    <t>31883994-OP READINESS WA</t>
  </si>
  <si>
    <t>03H1629</t>
  </si>
  <si>
    <t>301803H5752</t>
  </si>
  <si>
    <t>32171221-HSEC WEST ANGELAS</t>
  </si>
  <si>
    <t>KDJ150R PRADO</t>
  </si>
  <si>
    <t>03H1938</t>
  </si>
  <si>
    <t>301803H6120</t>
  </si>
  <si>
    <t>30763478-FACILITIES MANAGER</t>
  </si>
  <si>
    <t>31543024-FACILITIES OPS EAST</t>
  </si>
  <si>
    <t>03H2973</t>
  </si>
  <si>
    <t>301803H7973</t>
  </si>
  <si>
    <t>30282937-D&amp;B PANEL A</t>
  </si>
  <si>
    <t>03R103</t>
  </si>
  <si>
    <t>301803H9191</t>
  </si>
  <si>
    <t>30432633-RAIL NETWORK MAINT</t>
  </si>
  <si>
    <t>31338998-INLAND SIGNALS</t>
  </si>
  <si>
    <t>301803H9192</t>
  </si>
  <si>
    <t>301803P10233</t>
  </si>
  <si>
    <t>DUAL CAB TRAY 3500KG GVM</t>
  </si>
  <si>
    <t>03H7711</t>
  </si>
  <si>
    <t>301803P8205</t>
  </si>
  <si>
    <t>31338998-SIGNALS</t>
  </si>
  <si>
    <t>03P7454</t>
  </si>
  <si>
    <t>301803P8207</t>
  </si>
  <si>
    <t>03P7100</t>
  </si>
  <si>
    <t>301803P8609</t>
  </si>
  <si>
    <t>30432635-RAIL OPS INLAND</t>
  </si>
  <si>
    <t>30480135-RAIL OPS INLAND EAST</t>
  </si>
  <si>
    <t>DUAL CAB TRAY GVM 3500</t>
  </si>
  <si>
    <t>03H7044</t>
  </si>
  <si>
    <t>301803P8743</t>
  </si>
  <si>
    <t>03P7364</t>
  </si>
  <si>
    <t>301803P8794</t>
  </si>
  <si>
    <t>301803P8796</t>
  </si>
  <si>
    <t>301803P9571</t>
  </si>
  <si>
    <t>30432635-RAIL OPERATIONS INLAN</t>
  </si>
  <si>
    <t>03H6818</t>
  </si>
  <si>
    <t>301803R10134</t>
  </si>
  <si>
    <t>30784739-MEM TRACKS PANEL B</t>
  </si>
  <si>
    <t>03H5924</t>
  </si>
  <si>
    <t>301803R10135</t>
  </si>
  <si>
    <t>31766026-HEALTH &amp; HYGEINE WA</t>
  </si>
  <si>
    <t>31769301-HEALTH &amp; HYGIENE PMO</t>
  </si>
  <si>
    <t>02R322</t>
  </si>
  <si>
    <t>301803R10139</t>
  </si>
  <si>
    <t>31504936-WAREHOUSING</t>
  </si>
  <si>
    <t>31081356-WAREHOUSE EAST</t>
  </si>
  <si>
    <t>02R320</t>
  </si>
  <si>
    <t>301803R10140</t>
  </si>
  <si>
    <t>03H6040</t>
  </si>
  <si>
    <t>301803R10141</t>
  </si>
  <si>
    <t>03CS6153</t>
  </si>
  <si>
    <t>301803R10146</t>
  </si>
  <si>
    <t>00128593-EAST DEPOSIT PANEL A</t>
  </si>
  <si>
    <t>03R7742</t>
  </si>
  <si>
    <t>301803R10147</t>
  </si>
  <si>
    <t>00128583-EAST DEPOSIT PANEL A</t>
  </si>
  <si>
    <t>03R8056</t>
  </si>
  <si>
    <t>301803R10148</t>
  </si>
  <si>
    <t>00128546-PROD ENGINEERING</t>
  </si>
  <si>
    <t>03R7618</t>
  </si>
  <si>
    <t>301803R10149</t>
  </si>
  <si>
    <t>EMO</t>
  </si>
  <si>
    <t>00128813-H&amp;S WEST ANGELAS</t>
  </si>
  <si>
    <t>DC COMMAND 3500KG GVM</t>
  </si>
  <si>
    <t>03H5107</t>
  </si>
  <si>
    <t>301803R10150</t>
  </si>
  <si>
    <t>31802476-DEP C&amp;D MINING PANEL</t>
  </si>
  <si>
    <t>03R7626</t>
  </si>
  <si>
    <t>301803R10151</t>
  </si>
  <si>
    <t>03R252</t>
  </si>
  <si>
    <t>301803R10153</t>
  </si>
  <si>
    <t>03R6674</t>
  </si>
  <si>
    <t>301803R10154</t>
  </si>
  <si>
    <t>301803R10172</t>
  </si>
  <si>
    <t>03R256</t>
  </si>
  <si>
    <t>301803R10174</t>
  </si>
  <si>
    <t>03R5532</t>
  </si>
  <si>
    <t>301803R10205</t>
  </si>
  <si>
    <t>32001532-WAN PROJECT PLANNING</t>
  </si>
  <si>
    <t>301803R10210</t>
  </si>
  <si>
    <t>00128616-SITE SERVICES WANG</t>
  </si>
  <si>
    <t>SINGLE CAB TRAY GVM 3500</t>
  </si>
  <si>
    <t>301803R10211</t>
  </si>
  <si>
    <t>301803R10345</t>
  </si>
  <si>
    <t>VDJL79R LANDCRUISER</t>
  </si>
  <si>
    <t>03CS5954</t>
  </si>
  <si>
    <t>301803R10349</t>
  </si>
  <si>
    <t>30796427-FXP SUPER PANEL A</t>
  </si>
  <si>
    <t>03R301</t>
  </si>
  <si>
    <t>301803R10351</t>
  </si>
  <si>
    <t>03R306</t>
  </si>
  <si>
    <t>301803R10353</t>
  </si>
  <si>
    <t>00128593-EAST DEPOSITS PANEL A</t>
  </si>
  <si>
    <t>03R359</t>
  </si>
  <si>
    <t>301803R10354</t>
  </si>
  <si>
    <t>03R6732</t>
  </si>
  <si>
    <t>301803R10356</t>
  </si>
  <si>
    <t>31934965-MINE WATER MGMT</t>
  </si>
  <si>
    <t>03R7521</t>
  </si>
  <si>
    <t>301803R10357</t>
  </si>
  <si>
    <t>03R7522</t>
  </si>
  <si>
    <t>301803R10358</t>
  </si>
  <si>
    <t>30567526-EAST DEPOSIT PANEL B</t>
  </si>
  <si>
    <t>03R7737</t>
  </si>
  <si>
    <t>301803R10359</t>
  </si>
  <si>
    <t>VDJL79R LANDCRUSIER</t>
  </si>
  <si>
    <t>03R7738</t>
  </si>
  <si>
    <t>301803R10360</t>
  </si>
  <si>
    <t>03R7741</t>
  </si>
  <si>
    <t>301803R10361</t>
  </si>
  <si>
    <t>30567526-EAST DEPOSITS PANEL B</t>
  </si>
  <si>
    <t>03R7759</t>
  </si>
  <si>
    <t>301803R5798</t>
  </si>
  <si>
    <t>00128616-SITE SERVICES WA &amp; RV</t>
  </si>
  <si>
    <t>301803R5799</t>
  </si>
  <si>
    <t>301803R5800</t>
  </si>
  <si>
    <t>GX MAN WAGON</t>
  </si>
  <si>
    <t>301803R6539</t>
  </si>
  <si>
    <t>FAST ATTACK</t>
  </si>
  <si>
    <t>31294920-HEALTH HYG &amp; EMERG</t>
  </si>
  <si>
    <t>31231406-EMERGENCY SERV EAST</t>
  </si>
  <si>
    <t>03R2557</t>
  </si>
  <si>
    <t>301803R6676</t>
  </si>
  <si>
    <t>03R183</t>
  </si>
  <si>
    <t>301803R7441</t>
  </si>
  <si>
    <t>30516255-WA MINE DEVELOPMENT</t>
  </si>
  <si>
    <t>03R209</t>
  </si>
  <si>
    <t>HEAVY</t>
  </si>
  <si>
    <t>301803R7869</t>
  </si>
  <si>
    <t>31231406-EMERGENCY SERVICES</t>
  </si>
  <si>
    <t>SINGLE CAB FAST ATTACK</t>
  </si>
  <si>
    <t>301803R8089</t>
  </si>
  <si>
    <t>00128593-LOAD &amp; HAUL DEP A,E&amp;F</t>
  </si>
  <si>
    <t>03H1634</t>
  </si>
  <si>
    <t>301803R8090</t>
  </si>
  <si>
    <t>03R205</t>
  </si>
  <si>
    <t>301803R8091</t>
  </si>
  <si>
    <t>03R208</t>
  </si>
  <si>
    <t>301803R8092</t>
  </si>
  <si>
    <t>00128546-PRODUCTION ENGIN</t>
  </si>
  <si>
    <t>03H7214</t>
  </si>
  <si>
    <t>301803R8093</t>
  </si>
  <si>
    <t>30282937-DRILL &amp; BLAST</t>
  </si>
  <si>
    <t>03R6673</t>
  </si>
  <si>
    <t>301803R8094</t>
  </si>
  <si>
    <t>31259092-WA FIXED PLANT</t>
  </si>
  <si>
    <t>03R2621</t>
  </si>
  <si>
    <t>301803R8095</t>
  </si>
  <si>
    <t>03R5534</t>
  </si>
  <si>
    <t>301803R8102</t>
  </si>
  <si>
    <t>SINGLE CAB TRAY AHS GVM 3950</t>
  </si>
  <si>
    <t>03R159/14R3641</t>
  </si>
  <si>
    <t>301803R8103</t>
  </si>
  <si>
    <t>03R5793</t>
  </si>
  <si>
    <t>301803R8104</t>
  </si>
  <si>
    <t>03R5797</t>
  </si>
  <si>
    <t>301803R8105</t>
  </si>
  <si>
    <t>03R121</t>
  </si>
  <si>
    <t>301803R8107</t>
  </si>
  <si>
    <t>30567526-WA LOAD &amp; HAUL DEP B</t>
  </si>
  <si>
    <t>03R5940</t>
  </si>
  <si>
    <t>AHS + CAES</t>
  </si>
  <si>
    <t>301803R8109</t>
  </si>
  <si>
    <t>03R7316/14R3791</t>
  </si>
  <si>
    <t>301803R8110</t>
  </si>
  <si>
    <t>03R206</t>
  </si>
  <si>
    <t>301803R8111</t>
  </si>
  <si>
    <t>03R248/14R3729</t>
  </si>
  <si>
    <t>301803R8112</t>
  </si>
  <si>
    <t>31310653-WA MINE OPS AHS</t>
  </si>
  <si>
    <t>03H1743</t>
  </si>
  <si>
    <t>301803R8113</t>
  </si>
  <si>
    <t>03R7439</t>
  </si>
  <si>
    <t>301803R8114</t>
  </si>
  <si>
    <t>03R175</t>
  </si>
  <si>
    <t>301803R8118</t>
  </si>
  <si>
    <t>03H6039</t>
  </si>
  <si>
    <t>301803R8119</t>
  </si>
  <si>
    <t>03H7053</t>
  </si>
  <si>
    <t>301803R8120</t>
  </si>
  <si>
    <t>03R7625</t>
  </si>
  <si>
    <t>301803R8121</t>
  </si>
  <si>
    <t>03R7315</t>
  </si>
  <si>
    <t>301803R8123</t>
  </si>
  <si>
    <t>30784739-MEM TRACKS</t>
  </si>
  <si>
    <t>03H5571</t>
  </si>
  <si>
    <t>301803R8124</t>
  </si>
  <si>
    <t>03R7507</t>
  </si>
  <si>
    <t>301803R8302</t>
  </si>
  <si>
    <t>301803R8312</t>
  </si>
  <si>
    <t>301803R8384</t>
  </si>
  <si>
    <t>30261694-MEM TYRES</t>
  </si>
  <si>
    <t>03R5535/14R947</t>
  </si>
  <si>
    <t>301803R8388</t>
  </si>
  <si>
    <t>03R7520</t>
  </si>
  <si>
    <t>301803R8391</t>
  </si>
  <si>
    <t>03R7757</t>
  </si>
  <si>
    <t>301803R8400</t>
  </si>
  <si>
    <t>03R176</t>
  </si>
  <si>
    <t>301803R8419</t>
  </si>
  <si>
    <t>00128616-SITE SERVICES WA</t>
  </si>
  <si>
    <t>03R5795</t>
  </si>
  <si>
    <t>301803R8429</t>
  </si>
  <si>
    <t>03R7440</t>
  </si>
  <si>
    <t>301803R8447</t>
  </si>
  <si>
    <t>03R7518</t>
  </si>
  <si>
    <t>301803R8449</t>
  </si>
  <si>
    <t>03R7758</t>
  </si>
  <si>
    <t>301803R8504</t>
  </si>
  <si>
    <t>AMBULANCE</t>
  </si>
  <si>
    <t>31175985-H&amp;S EAST PILBARA</t>
  </si>
  <si>
    <t>AMBULANCE GVM</t>
  </si>
  <si>
    <t>VOLKSWAGEN</t>
  </si>
  <si>
    <t>CRAFTER 35 TDI410 MWB 4 MOTION</t>
  </si>
  <si>
    <t>03R2639</t>
  </si>
  <si>
    <t>301803R8575</t>
  </si>
  <si>
    <t>DUAL CAB TRAY GVM 3950</t>
  </si>
  <si>
    <t>03R5801</t>
  </si>
  <si>
    <t>301803R8581</t>
  </si>
  <si>
    <t>03R267</t>
  </si>
  <si>
    <t>301803R8592</t>
  </si>
  <si>
    <t>03H6042</t>
  </si>
  <si>
    <t>301803R8601</t>
  </si>
  <si>
    <t>03R174</t>
  </si>
  <si>
    <t>CAES</t>
  </si>
  <si>
    <t>301803R8682</t>
  </si>
  <si>
    <t>03H516</t>
  </si>
  <si>
    <t>301803R8686</t>
  </si>
  <si>
    <t>03H5807</t>
  </si>
  <si>
    <t>301803R8688</t>
  </si>
  <si>
    <t>03R6678</t>
  </si>
  <si>
    <t>301803R8713</t>
  </si>
  <si>
    <t>03R7729</t>
  </si>
  <si>
    <t>301803R8716</t>
  </si>
  <si>
    <t>03R7743</t>
  </si>
  <si>
    <t>301803R8717</t>
  </si>
  <si>
    <t>03R7730</t>
  </si>
  <si>
    <t>301803R8721</t>
  </si>
  <si>
    <t>03R7728</t>
  </si>
  <si>
    <t>301803R9063</t>
  </si>
  <si>
    <t>31934965-MINE WATER MANAGEMENT</t>
  </si>
  <si>
    <t>03R346</t>
  </si>
  <si>
    <t>301803R9069</t>
  </si>
  <si>
    <t>30282937-DRILL &amp; BLAST PANEL A</t>
  </si>
  <si>
    <t>03H6043</t>
  </si>
  <si>
    <t>301803R9070</t>
  </si>
  <si>
    <t>03R7734</t>
  </si>
  <si>
    <t>301803R9071</t>
  </si>
  <si>
    <t>03R7740</t>
  </si>
  <si>
    <t>301803R9072</t>
  </si>
  <si>
    <t>03R2646</t>
  </si>
  <si>
    <t>301803R9074</t>
  </si>
  <si>
    <t>03R255</t>
  </si>
  <si>
    <t>301803R9075</t>
  </si>
  <si>
    <t>03H6651</t>
  </si>
  <si>
    <t>301803R9076</t>
  </si>
  <si>
    <t>03R6672</t>
  </si>
  <si>
    <t>301803R9077</t>
  </si>
  <si>
    <t>03R251</t>
  </si>
  <si>
    <t>301803R9115</t>
  </si>
  <si>
    <t>301803R9119</t>
  </si>
  <si>
    <t>301803R9122</t>
  </si>
  <si>
    <t>301803R9157</t>
  </si>
  <si>
    <t>31175985-H &amp; S EAST PILBARA</t>
  </si>
  <si>
    <t>AMBULANCE GVM 3900</t>
  </si>
  <si>
    <t>03R253</t>
  </si>
  <si>
    <t>301803R9160</t>
  </si>
  <si>
    <t>BOMB UTE</t>
  </si>
  <si>
    <t>03R7619</t>
  </si>
  <si>
    <t>301803R9161</t>
  </si>
  <si>
    <t>03R7620</t>
  </si>
  <si>
    <t>301803R9633</t>
  </si>
  <si>
    <t>03H1069</t>
  </si>
  <si>
    <t>301803R9634</t>
  </si>
  <si>
    <t>03H5572</t>
  </si>
  <si>
    <t>301803R9635</t>
  </si>
  <si>
    <t>31802476-WEST DEPOSITS PANEL B</t>
  </si>
  <si>
    <t>03H7054</t>
  </si>
  <si>
    <t>301803R9639</t>
  </si>
  <si>
    <t>00128593-DEPOSIT A&amp;B MINING A</t>
  </si>
  <si>
    <t>03R2625</t>
  </si>
  <si>
    <t>301803R9640</t>
  </si>
  <si>
    <t>00128593-DEP A&amp;B MINING PAN A</t>
  </si>
  <si>
    <t>03R2643</t>
  </si>
  <si>
    <t>301803R9641</t>
  </si>
  <si>
    <t>00128593-DEPOSIT A&amp;B PANEL A</t>
  </si>
  <si>
    <t>03R2645</t>
  </si>
  <si>
    <t>301803R9642</t>
  </si>
  <si>
    <t>03R266</t>
  </si>
  <si>
    <t>301803R9648</t>
  </si>
  <si>
    <t>03R5536</t>
  </si>
  <si>
    <t>301803R9649</t>
  </si>
  <si>
    <t>03R5794</t>
  </si>
  <si>
    <t>301803R9653</t>
  </si>
  <si>
    <t>03R6677</t>
  </si>
  <si>
    <t>301803R9657</t>
  </si>
  <si>
    <t>31934965-MINE WATER MGT.</t>
  </si>
  <si>
    <t>03R7519</t>
  </si>
  <si>
    <t>301803R9658</t>
  </si>
  <si>
    <t>03R7621</t>
  </si>
  <si>
    <t>301803R9660</t>
  </si>
  <si>
    <t>03R7725</t>
  </si>
  <si>
    <t>301803R9661</t>
  </si>
  <si>
    <t>03R7726</t>
  </si>
  <si>
    <t>301803R9662</t>
  </si>
  <si>
    <t>03R7727</t>
  </si>
  <si>
    <t>301803R9663</t>
  </si>
  <si>
    <t>03R7731</t>
  </si>
  <si>
    <t>301803R9664</t>
  </si>
  <si>
    <t>30567526-DEPOSIT A&amp;B MINING A</t>
  </si>
  <si>
    <t>03R7733</t>
  </si>
  <si>
    <t>301803R9665</t>
  </si>
  <si>
    <t>03R7735</t>
  </si>
  <si>
    <t>301803R9666</t>
  </si>
  <si>
    <t>00128546-PRODUCTION ENGINEERIN</t>
  </si>
  <si>
    <t>03R7736</t>
  </si>
  <si>
    <t>301803R9667</t>
  </si>
  <si>
    <t>03R7739</t>
  </si>
  <si>
    <t>301803R9675</t>
  </si>
  <si>
    <t>03H5470</t>
  </si>
  <si>
    <t>301803R9676</t>
  </si>
  <si>
    <t>03R186</t>
  </si>
  <si>
    <t>301803R9677</t>
  </si>
  <si>
    <t>03R187</t>
  </si>
  <si>
    <t>301803R9678</t>
  </si>
  <si>
    <t>03R188</t>
  </si>
  <si>
    <t>301803R9679</t>
  </si>
  <si>
    <t>03R191</t>
  </si>
  <si>
    <t>301803R9680</t>
  </si>
  <si>
    <t>03R192</t>
  </si>
  <si>
    <t>301803R9682</t>
  </si>
  <si>
    <t>03R2626</t>
  </si>
  <si>
    <t>301803R9684</t>
  </si>
  <si>
    <t>03R2640</t>
  </si>
  <si>
    <t>301803R9685</t>
  </si>
  <si>
    <t>03R2641</t>
  </si>
  <si>
    <t>301803R9686</t>
  </si>
  <si>
    <t>03R2642</t>
  </si>
  <si>
    <t>301803R9687</t>
  </si>
  <si>
    <t>03R2644</t>
  </si>
  <si>
    <t>301803R9690</t>
  </si>
  <si>
    <t>03R302</t>
  </si>
  <si>
    <t>301803R9692</t>
  </si>
  <si>
    <t>03R5538</t>
  </si>
  <si>
    <t>301803R9693</t>
  </si>
  <si>
    <t>03R5802</t>
  </si>
  <si>
    <t>301803R9694</t>
  </si>
  <si>
    <t>03R5803</t>
  </si>
  <si>
    <t>301803R9770</t>
  </si>
  <si>
    <t>03CS5581</t>
  </si>
  <si>
    <t>301803R9796</t>
  </si>
  <si>
    <t>31259029-WEST ANGELAS FIXED PL</t>
  </si>
  <si>
    <t>31934965-WEST ANGELAS DEWATERI</t>
  </si>
  <si>
    <t>301803R9797</t>
  </si>
  <si>
    <t>301803R9798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</si>
</sst>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49" fontId="0" fillId="3" borderId="0" xfId="0" applyNumberFormat="1" applyFill="1"/>
    <xf numFmtId="49" fontId="0" fillId="0" borderId="0" xfId="0" applyNumberFormat="1"/>
    <xf numFmtId="165" fontId="0" fillId="0" borderId="0" xfId="1" applyNumberFormat="1" applyFont="1"/>
    <xf numFmtId="166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Number of electric vehicles in different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Sheet2!$O$2:$O$7</c:f>
              <c:strCache>
                <c:ptCount val="6"/>
                <c:pt idx="0">
                  <c:v>LIGHT</c:v>
                </c:pt>
                <c:pt idx="1">
                  <c:v>MANAGER</c:v>
                </c:pt>
                <c:pt idx="2">
                  <c:v>MEDIUM</c:v>
                </c:pt>
                <c:pt idx="3">
                  <c:v>FAST ATTACK</c:v>
                </c:pt>
                <c:pt idx="4">
                  <c:v>HEAVY</c:v>
                </c:pt>
                <c:pt idx="5">
                  <c:v>AMBULANCE</c:v>
                </c:pt>
              </c:strCache>
            </c:strRef>
          </c:cat>
          <c:val>
            <c:numRef>
              <c:f>Sheet2!$P$2:$P$7</c:f>
              <c:numCache>
                <c:formatCode>General</c:formatCode>
                <c:ptCount val="6"/>
                <c:pt idx="0">
                  <c:v>15</c:v>
                </c:pt>
                <c:pt idx="1">
                  <c:v>3</c:v>
                </c:pt>
                <c:pt idx="2">
                  <c:v>164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2-9242-9646-E2A4941352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937344"/>
        <c:axId val="454760976"/>
      </c:barChart>
      <c:catAx>
        <c:axId val="4289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54760976"/>
        <c:crosses val="autoZero"/>
        <c:auto val="1"/>
        <c:lblAlgn val="ctr"/>
        <c:lblOffset val="100"/>
        <c:noMultiLvlLbl val="0"/>
      </c:catAx>
      <c:valAx>
        <c:axId val="4547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28937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215900</xdr:colOff>
      <xdr:row>11</xdr:row>
      <xdr:rowOff>139700</xdr:rowOff>
    </xdr:from>
    <xdr:to>
      <xdr:col>21</xdr:col>
      <xdr:colOff>381000</xdr:colOff>
      <xdr:row>30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5658D8-9175-C02A-62BA-E7E6B4DF8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3BD7-113D-4D4C-A661-7F1D4B4A3DA2}">
  <dimension ref="A1:P190"/>
  <sheetViews>
    <sheetView tabSelected="1" topLeftCell="H1" workbookViewId="0">
      <selection activeCell="X20" sqref="X20"/>
    </sheetView>
  </sheetViews>
  <sheetFormatPr baseColWidth="10" defaultColWidth="8.83203125" defaultRowHeight="15" x14ac:dyDescent="0.2"/>
  <cols>
    <col min="1" max="1" width="14.5" bestFit="1" customWidth="1"/>
    <col min="2" max="2" width="25.5" bestFit="1" customWidth="1"/>
    <col min="3" max="3" width="4.5" bestFit="1" customWidth="1"/>
    <col min="4" max="4" width="9" bestFit="1" customWidth="1"/>
    <col min="5" max="5" width="35" bestFit="1" customWidth="1"/>
    <col min="6" max="6" width="34.5" bestFit="1" customWidth="1"/>
    <col min="7" max="7" width="29" bestFit="1" customWidth="1"/>
    <col min="8" max="8" width="13.33203125" bestFit="1" customWidth="1"/>
    <col min="9" max="9" width="32.1640625" bestFit="1" customWidth="1"/>
    <col min="10" max="11" width="19.1640625" bestFit="1" customWidth="1"/>
    <col min="12" max="12" width="12.1640625" bestFit="1" customWidth="1"/>
  </cols>
  <sheetData>
    <row r="1" spans="1:16" x14ac:dyDescent="0.2">
      <c r="A1" s="1" t="s">
        <v>0</v>
      </c>
      <c r="B1" s="2" t="s">
        <v>1</v>
      </c>
      <c r="C1" s="4" t="s">
        <v>2</v>
      </c>
      <c r="D1" s="5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O1" t="str" cm="1">
        <f t="array" ref="O1:O8">_xlfn.UNIQUE(L:L)</f>
        <v>Duty Cycle</v>
      </c>
    </row>
    <row r="2" spans="1:16" x14ac:dyDescent="0.2">
      <c r="A2" s="6" t="s">
        <v>12</v>
      </c>
      <c r="B2" s="7" t="s">
        <v>13</v>
      </c>
      <c r="C2" s="9">
        <v>11.808219178082192</v>
      </c>
      <c r="D2" s="8">
        <v>128278.9</v>
      </c>
      <c r="E2" s="7" t="s">
        <v>14</v>
      </c>
      <c r="F2" t="s">
        <v>15</v>
      </c>
      <c r="G2" s="7" t="s">
        <v>16</v>
      </c>
      <c r="H2" t="s">
        <v>17</v>
      </c>
      <c r="I2" t="s">
        <v>18</v>
      </c>
      <c r="J2" s="7" t="s">
        <v>19</v>
      </c>
      <c r="K2" s="7" t="s">
        <v>20</v>
      </c>
      <c r="L2" s="7" t="s">
        <v>21</v>
      </c>
      <c r="O2" t="str">
        <v>LIGHT</v>
      </c>
      <c r="P2">
        <f>COUNTIF(L:L,O2)</f>
        <v>15</v>
      </c>
    </row>
    <row r="3" spans="1:16" x14ac:dyDescent="0.2">
      <c r="A3" s="6" t="s">
        <v>22</v>
      </c>
      <c r="B3" s="7" t="s">
        <v>13</v>
      </c>
      <c r="C3" s="9">
        <v>11.769863013698631</v>
      </c>
      <c r="D3" s="8">
        <v>214069.9</v>
      </c>
      <c r="E3" s="7" t="s">
        <v>23</v>
      </c>
      <c r="F3" t="s">
        <v>24</v>
      </c>
      <c r="G3" s="7" t="s">
        <v>16</v>
      </c>
      <c r="H3" t="s">
        <v>17</v>
      </c>
      <c r="I3" t="s">
        <v>18</v>
      </c>
      <c r="J3" s="7" t="s">
        <v>25</v>
      </c>
      <c r="K3" s="7" t="s">
        <v>20</v>
      </c>
      <c r="L3" s="7" t="s">
        <v>21</v>
      </c>
      <c r="O3" t="str">
        <v>MANAGER</v>
      </c>
      <c r="P3">
        <f t="shared" ref="P3:P7" si="0">COUNTIF(L:L,O3)</f>
        <v>3</v>
      </c>
    </row>
    <row r="4" spans="1:16" x14ac:dyDescent="0.2">
      <c r="A4" s="6" t="s">
        <v>26</v>
      </c>
      <c r="B4" s="7" t="s">
        <v>13</v>
      </c>
      <c r="C4" s="9">
        <v>11.808219178082192</v>
      </c>
      <c r="D4" s="8">
        <v>141579.20000000001</v>
      </c>
      <c r="E4" s="7" t="s">
        <v>27</v>
      </c>
      <c r="F4" t="s">
        <v>28</v>
      </c>
      <c r="G4" s="7" t="s">
        <v>16</v>
      </c>
      <c r="H4" t="s">
        <v>17</v>
      </c>
      <c r="I4" t="s">
        <v>18</v>
      </c>
      <c r="J4" s="7" t="s">
        <v>29</v>
      </c>
      <c r="K4" s="7" t="s">
        <v>20</v>
      </c>
      <c r="L4" s="7" t="s">
        <v>21</v>
      </c>
      <c r="O4" t="str">
        <v>MEDIUM</v>
      </c>
      <c r="P4">
        <f t="shared" si="0"/>
        <v>164</v>
      </c>
    </row>
    <row r="5" spans="1:16" x14ac:dyDescent="0.2">
      <c r="A5" s="6" t="s">
        <v>30</v>
      </c>
      <c r="B5" s="7" t="s">
        <v>13</v>
      </c>
      <c r="C5" s="9">
        <v>6.4027397260273968</v>
      </c>
      <c r="D5" s="8">
        <v>98440</v>
      </c>
      <c r="E5" s="7" t="s">
        <v>31</v>
      </c>
      <c r="F5" t="s">
        <v>14</v>
      </c>
      <c r="G5" s="7" t="s">
        <v>32</v>
      </c>
      <c r="H5" t="s">
        <v>17</v>
      </c>
      <c r="I5" t="s">
        <v>33</v>
      </c>
      <c r="J5" s="7" t="s">
        <v>34</v>
      </c>
      <c r="K5" s="7" t="s">
        <v>20</v>
      </c>
      <c r="L5" s="7" t="s">
        <v>35</v>
      </c>
      <c r="O5" t="str">
        <v>FAST ATTACK</v>
      </c>
      <c r="P5">
        <f t="shared" si="0"/>
        <v>2</v>
      </c>
    </row>
    <row r="6" spans="1:16" x14ac:dyDescent="0.2">
      <c r="A6" s="6" t="s">
        <v>36</v>
      </c>
      <c r="B6" s="7" t="s">
        <v>13</v>
      </c>
      <c r="C6" s="9">
        <v>4.9835616438356167</v>
      </c>
      <c r="D6" s="8">
        <v>150227.20000000001</v>
      </c>
      <c r="E6" s="7" t="s">
        <v>37</v>
      </c>
      <c r="F6" t="s">
        <v>37</v>
      </c>
      <c r="G6" s="7" t="s">
        <v>38</v>
      </c>
      <c r="H6" t="s">
        <v>17</v>
      </c>
      <c r="I6" t="s">
        <v>39</v>
      </c>
      <c r="J6" s="7" t="s">
        <v>40</v>
      </c>
      <c r="K6" s="7" t="s">
        <v>20</v>
      </c>
      <c r="L6" s="7" t="s">
        <v>41</v>
      </c>
      <c r="O6" t="str">
        <v>HEAVY</v>
      </c>
      <c r="P6">
        <f t="shared" si="0"/>
        <v>3</v>
      </c>
    </row>
    <row r="7" spans="1:16" x14ac:dyDescent="0.2">
      <c r="A7" s="6" t="s">
        <v>42</v>
      </c>
      <c r="B7" s="7" t="s">
        <v>13</v>
      </c>
      <c r="C7" s="9">
        <v>4.6575342465753424</v>
      </c>
      <c r="D7" s="8">
        <v>167050.29999999999</v>
      </c>
      <c r="E7" s="7" t="s">
        <v>37</v>
      </c>
      <c r="F7" t="s">
        <v>37</v>
      </c>
      <c r="G7" s="7" t="s">
        <v>43</v>
      </c>
      <c r="H7" t="s">
        <v>17</v>
      </c>
      <c r="I7" t="s">
        <v>44</v>
      </c>
      <c r="J7" s="7" t="s">
        <v>45</v>
      </c>
      <c r="K7" s="7" t="s">
        <v>20</v>
      </c>
      <c r="L7" s="7" t="s">
        <v>41</v>
      </c>
      <c r="O7" t="str">
        <v>AMBULANCE</v>
      </c>
      <c r="P7">
        <f t="shared" si="0"/>
        <v>2</v>
      </c>
    </row>
    <row r="8" spans="1:16" x14ac:dyDescent="0.2">
      <c r="A8" s="6" t="s">
        <v>46</v>
      </c>
      <c r="B8" s="7" t="s">
        <v>13</v>
      </c>
      <c r="C8" s="9">
        <v>4.7917808219178086</v>
      </c>
      <c r="D8" s="8">
        <v>70930.399999999994</v>
      </c>
      <c r="E8" s="7" t="s">
        <v>47</v>
      </c>
      <c r="F8" t="s">
        <v>48</v>
      </c>
      <c r="G8" s="7" t="s">
        <v>38</v>
      </c>
      <c r="H8" t="s">
        <v>17</v>
      </c>
      <c r="I8" t="s">
        <v>39</v>
      </c>
      <c r="J8" s="7" t="s">
        <v>49</v>
      </c>
      <c r="K8" s="7" t="s">
        <v>20</v>
      </c>
      <c r="L8" s="7" t="s">
        <v>41</v>
      </c>
      <c r="O8">
        <v>0</v>
      </c>
    </row>
    <row r="9" spans="1:16" x14ac:dyDescent="0.2">
      <c r="A9" s="6" t="s">
        <v>50</v>
      </c>
      <c r="B9" s="7" t="s">
        <v>13</v>
      </c>
      <c r="C9" s="9">
        <v>5.0027397260273974</v>
      </c>
      <c r="D9" s="8">
        <v>89328.5</v>
      </c>
      <c r="E9" s="7" t="s">
        <v>47</v>
      </c>
      <c r="F9" t="s">
        <v>51</v>
      </c>
      <c r="G9" s="7" t="s">
        <v>38</v>
      </c>
      <c r="H9" t="s">
        <v>17</v>
      </c>
      <c r="I9" t="s">
        <v>39</v>
      </c>
      <c r="J9" s="7" t="s">
        <v>52</v>
      </c>
      <c r="K9" s="7" t="s">
        <v>20</v>
      </c>
      <c r="L9" s="7" t="s">
        <v>41</v>
      </c>
    </row>
    <row r="10" spans="1:16" x14ac:dyDescent="0.2">
      <c r="A10" s="6" t="s">
        <v>53</v>
      </c>
      <c r="B10" s="7" t="s">
        <v>13</v>
      </c>
      <c r="C10" s="9">
        <v>4.7150684931506852</v>
      </c>
      <c r="D10" s="8">
        <v>143177.4</v>
      </c>
      <c r="E10" s="7" t="s">
        <v>54</v>
      </c>
      <c r="F10" t="s">
        <v>55</v>
      </c>
      <c r="G10" s="7" t="s">
        <v>38</v>
      </c>
      <c r="H10" t="s">
        <v>17</v>
      </c>
      <c r="I10" t="s">
        <v>44</v>
      </c>
      <c r="J10" s="7" t="s">
        <v>56</v>
      </c>
      <c r="K10" s="7" t="s">
        <v>57</v>
      </c>
      <c r="L10" s="7" t="s">
        <v>41</v>
      </c>
    </row>
    <row r="11" spans="1:16" x14ac:dyDescent="0.2">
      <c r="A11" s="6" t="s">
        <v>58</v>
      </c>
      <c r="B11" s="7" t="s">
        <v>13</v>
      </c>
      <c r="C11" s="9">
        <v>3.3369863013698629</v>
      </c>
      <c r="D11" s="8">
        <v>20157.599999999999</v>
      </c>
      <c r="E11" s="7" t="s">
        <v>59</v>
      </c>
      <c r="F11" t="s">
        <v>59</v>
      </c>
      <c r="G11" s="7" t="s">
        <v>32</v>
      </c>
      <c r="H11" t="s">
        <v>17</v>
      </c>
      <c r="I11" t="s">
        <v>33</v>
      </c>
      <c r="J11" s="7" t="s">
        <v>60</v>
      </c>
      <c r="K11" s="7" t="s">
        <v>20</v>
      </c>
      <c r="L11" s="7" t="s">
        <v>41</v>
      </c>
    </row>
    <row r="12" spans="1:16" x14ac:dyDescent="0.2">
      <c r="A12" s="6" t="s">
        <v>61</v>
      </c>
      <c r="B12" s="7" t="s">
        <v>13</v>
      </c>
      <c r="C12" s="9">
        <v>3.1972602739726028</v>
      </c>
      <c r="D12" s="8">
        <v>120021.3</v>
      </c>
      <c r="E12" s="7" t="s">
        <v>47</v>
      </c>
      <c r="F12" t="s">
        <v>62</v>
      </c>
      <c r="G12" s="7" t="s">
        <v>63</v>
      </c>
      <c r="H12" t="s">
        <v>17</v>
      </c>
      <c r="I12" t="s">
        <v>44</v>
      </c>
      <c r="J12" s="7" t="s">
        <v>64</v>
      </c>
      <c r="K12" s="7" t="s">
        <v>20</v>
      </c>
      <c r="L12" s="7" t="s">
        <v>41</v>
      </c>
    </row>
    <row r="13" spans="1:16" x14ac:dyDescent="0.2">
      <c r="A13" s="6" t="s">
        <v>65</v>
      </c>
      <c r="B13" s="7" t="s">
        <v>13</v>
      </c>
      <c r="C13" s="9">
        <v>3.2219178082191782</v>
      </c>
      <c r="D13" s="8">
        <v>80442.399999999994</v>
      </c>
      <c r="E13" s="7" t="s">
        <v>47</v>
      </c>
      <c r="F13" t="s">
        <v>66</v>
      </c>
      <c r="G13" s="7" t="s">
        <v>63</v>
      </c>
      <c r="H13" t="s">
        <v>17</v>
      </c>
      <c r="I13" t="s">
        <v>44</v>
      </c>
      <c r="J13" s="7" t="s">
        <v>67</v>
      </c>
      <c r="K13" s="7" t="s">
        <v>20</v>
      </c>
      <c r="L13" s="7" t="s">
        <v>41</v>
      </c>
    </row>
    <row r="14" spans="1:16" x14ac:dyDescent="0.2">
      <c r="A14" s="6" t="s">
        <v>68</v>
      </c>
      <c r="B14" s="7" t="s">
        <v>13</v>
      </c>
      <c r="C14" s="9">
        <v>3.1616438356164385</v>
      </c>
      <c r="D14" s="8">
        <v>88692.1</v>
      </c>
      <c r="E14" s="7" t="s">
        <v>47</v>
      </c>
      <c r="F14" t="s">
        <v>66</v>
      </c>
      <c r="G14" s="7" t="s">
        <v>63</v>
      </c>
      <c r="H14" t="s">
        <v>17</v>
      </c>
      <c r="I14" t="s">
        <v>44</v>
      </c>
      <c r="J14" s="7" t="s">
        <v>69</v>
      </c>
      <c r="K14" s="7" t="s">
        <v>20</v>
      </c>
      <c r="L14" s="7" t="s">
        <v>41</v>
      </c>
    </row>
    <row r="15" spans="1:16" x14ac:dyDescent="0.2">
      <c r="A15" s="6" t="s">
        <v>70</v>
      </c>
      <c r="B15" s="7" t="s">
        <v>13</v>
      </c>
      <c r="C15" s="9">
        <v>2.989041095890411</v>
      </c>
      <c r="D15" s="8">
        <v>79770.7</v>
      </c>
      <c r="E15" s="7" t="s">
        <v>71</v>
      </c>
      <c r="F15" t="s">
        <v>72</v>
      </c>
      <c r="G15" s="7" t="s">
        <v>38</v>
      </c>
      <c r="H15" t="s">
        <v>17</v>
      </c>
      <c r="I15" t="s">
        <v>39</v>
      </c>
      <c r="J15" s="7" t="s">
        <v>73</v>
      </c>
      <c r="K15" s="7" t="s">
        <v>20</v>
      </c>
      <c r="L15" s="7" t="s">
        <v>41</v>
      </c>
    </row>
    <row r="16" spans="1:16" x14ac:dyDescent="0.2">
      <c r="A16" s="6" t="s">
        <v>74</v>
      </c>
      <c r="B16" s="7" t="s">
        <v>13</v>
      </c>
      <c r="C16" s="9">
        <v>2.6520547945205482</v>
      </c>
      <c r="D16" s="8">
        <v>43005.5</v>
      </c>
      <c r="E16" s="7" t="s">
        <v>75</v>
      </c>
      <c r="F16" t="s">
        <v>76</v>
      </c>
      <c r="G16" s="7" t="s">
        <v>32</v>
      </c>
      <c r="H16" t="s">
        <v>17</v>
      </c>
      <c r="I16" t="s">
        <v>33</v>
      </c>
      <c r="J16" s="7" t="s">
        <v>77</v>
      </c>
      <c r="K16" s="7" t="s">
        <v>20</v>
      </c>
      <c r="L16" s="7" t="s">
        <v>41</v>
      </c>
    </row>
    <row r="17" spans="1:12" x14ac:dyDescent="0.2">
      <c r="A17" s="6" t="s">
        <v>78</v>
      </c>
      <c r="B17" s="7" t="s">
        <v>13</v>
      </c>
      <c r="C17" s="9">
        <v>2.8547945205479452</v>
      </c>
      <c r="D17" s="8">
        <v>23580.5</v>
      </c>
      <c r="E17" s="7" t="s">
        <v>79</v>
      </c>
      <c r="F17" t="s">
        <v>80</v>
      </c>
      <c r="G17" s="7" t="s">
        <v>38</v>
      </c>
      <c r="H17" t="s">
        <v>17</v>
      </c>
      <c r="I17" t="s">
        <v>39</v>
      </c>
      <c r="J17" s="7" t="s">
        <v>81</v>
      </c>
      <c r="K17" s="7" t="s">
        <v>20</v>
      </c>
      <c r="L17" s="7" t="s">
        <v>41</v>
      </c>
    </row>
    <row r="18" spans="1:12" x14ac:dyDescent="0.2">
      <c r="A18" s="6" t="s">
        <v>82</v>
      </c>
      <c r="B18" s="7" t="s">
        <v>13</v>
      </c>
      <c r="C18" s="9">
        <v>2.1095890410958904</v>
      </c>
      <c r="D18" s="8">
        <v>40422.1</v>
      </c>
      <c r="E18" s="7" t="s">
        <v>47</v>
      </c>
      <c r="F18" t="s">
        <v>83</v>
      </c>
      <c r="G18" s="7" t="s">
        <v>63</v>
      </c>
      <c r="H18" t="s">
        <v>17</v>
      </c>
      <c r="I18" t="s">
        <v>44</v>
      </c>
      <c r="J18" s="7" t="s">
        <v>84</v>
      </c>
      <c r="K18" s="7" t="s">
        <v>57</v>
      </c>
      <c r="L18" s="7" t="s">
        <v>41</v>
      </c>
    </row>
    <row r="19" spans="1:12" x14ac:dyDescent="0.2">
      <c r="A19" s="6" t="s">
        <v>85</v>
      </c>
      <c r="B19" s="7" t="s">
        <v>13</v>
      </c>
      <c r="C19" s="9">
        <v>1.9397260273972603</v>
      </c>
      <c r="D19" s="8">
        <v>39957.800000000003</v>
      </c>
      <c r="E19" s="7" t="s">
        <v>37</v>
      </c>
      <c r="F19" t="s">
        <v>86</v>
      </c>
      <c r="G19" s="7" t="s">
        <v>38</v>
      </c>
      <c r="H19" t="s">
        <v>17</v>
      </c>
      <c r="I19" t="s">
        <v>39</v>
      </c>
      <c r="J19" s="7" t="s">
        <v>87</v>
      </c>
      <c r="K19" s="7" t="s">
        <v>20</v>
      </c>
      <c r="L19" s="7" t="s">
        <v>41</v>
      </c>
    </row>
    <row r="20" spans="1:12" x14ac:dyDescent="0.2">
      <c r="A20" s="6" t="s">
        <v>88</v>
      </c>
      <c r="B20" s="7" t="s">
        <v>13</v>
      </c>
      <c r="C20" s="9">
        <v>2.0520547945205481</v>
      </c>
      <c r="D20" s="8">
        <v>53714.2</v>
      </c>
      <c r="E20" s="7" t="s">
        <v>47</v>
      </c>
      <c r="F20" t="s">
        <v>83</v>
      </c>
      <c r="G20" s="7" t="s">
        <v>63</v>
      </c>
      <c r="H20" t="s">
        <v>17</v>
      </c>
      <c r="I20" t="s">
        <v>44</v>
      </c>
      <c r="J20" s="7" t="s">
        <v>89</v>
      </c>
      <c r="K20" s="7" t="s">
        <v>57</v>
      </c>
      <c r="L20" s="7" t="s">
        <v>41</v>
      </c>
    </row>
    <row r="21" spans="1:12" x14ac:dyDescent="0.2">
      <c r="A21" s="6" t="s">
        <v>90</v>
      </c>
      <c r="B21" s="7" t="s">
        <v>13</v>
      </c>
      <c r="C21" s="9">
        <v>2.1698630136986301</v>
      </c>
      <c r="D21" s="8">
        <v>40843</v>
      </c>
      <c r="E21" s="7" t="s">
        <v>91</v>
      </c>
      <c r="F21" t="s">
        <v>92</v>
      </c>
      <c r="G21" s="7" t="s">
        <v>93</v>
      </c>
      <c r="H21" t="s">
        <v>17</v>
      </c>
      <c r="I21" t="s">
        <v>39</v>
      </c>
      <c r="J21" s="7" t="s">
        <v>94</v>
      </c>
      <c r="K21" s="7" t="s">
        <v>20</v>
      </c>
      <c r="L21" s="7" t="s">
        <v>41</v>
      </c>
    </row>
    <row r="22" spans="1:12" x14ac:dyDescent="0.2">
      <c r="A22" s="6" t="s">
        <v>95</v>
      </c>
      <c r="B22" s="7" t="s">
        <v>13</v>
      </c>
      <c r="C22" s="9">
        <v>1.7808219178082192</v>
      </c>
      <c r="D22" s="8">
        <v>18841.400000000001</v>
      </c>
      <c r="E22" s="7" t="s">
        <v>37</v>
      </c>
      <c r="F22" t="s">
        <v>86</v>
      </c>
      <c r="G22" s="7" t="s">
        <v>32</v>
      </c>
      <c r="H22" t="s">
        <v>17</v>
      </c>
      <c r="I22" t="s">
        <v>33</v>
      </c>
      <c r="J22" s="7" t="s">
        <v>96</v>
      </c>
      <c r="K22" s="7" t="s">
        <v>20</v>
      </c>
      <c r="L22" s="7" t="s">
        <v>41</v>
      </c>
    </row>
    <row r="23" spans="1:12" x14ac:dyDescent="0.2">
      <c r="A23" s="6" t="s">
        <v>97</v>
      </c>
      <c r="B23" s="7" t="s">
        <v>13</v>
      </c>
      <c r="C23" s="9">
        <v>2.0520547945205481</v>
      </c>
      <c r="D23" s="8">
        <v>37292.1</v>
      </c>
      <c r="E23" s="7" t="s">
        <v>47</v>
      </c>
      <c r="F23" t="s">
        <v>83</v>
      </c>
      <c r="G23" s="7" t="s">
        <v>63</v>
      </c>
      <c r="H23" t="s">
        <v>17</v>
      </c>
      <c r="I23" t="s">
        <v>44</v>
      </c>
      <c r="J23" s="7" t="s">
        <v>98</v>
      </c>
      <c r="K23" s="7" t="s">
        <v>57</v>
      </c>
      <c r="L23" s="7" t="s">
        <v>41</v>
      </c>
    </row>
    <row r="24" spans="1:12" x14ac:dyDescent="0.2">
      <c r="A24" s="6" t="s">
        <v>99</v>
      </c>
      <c r="B24" s="7" t="s">
        <v>13</v>
      </c>
      <c r="C24" s="9">
        <v>2.2219178082191782</v>
      </c>
      <c r="D24" s="8">
        <v>25619</v>
      </c>
      <c r="E24" s="7" t="s">
        <v>47</v>
      </c>
      <c r="F24" t="s">
        <v>47</v>
      </c>
      <c r="G24" s="7" t="s">
        <v>100</v>
      </c>
      <c r="H24" t="s">
        <v>17</v>
      </c>
      <c r="I24" t="s">
        <v>33</v>
      </c>
      <c r="J24" s="7" t="s">
        <v>101</v>
      </c>
      <c r="K24" s="7" t="s">
        <v>20</v>
      </c>
      <c r="L24" s="7" t="s">
        <v>35</v>
      </c>
    </row>
    <row r="25" spans="1:12" x14ac:dyDescent="0.2">
      <c r="A25" s="6" t="s">
        <v>102</v>
      </c>
      <c r="B25" s="7" t="s">
        <v>13</v>
      </c>
      <c r="C25" s="9">
        <v>2.0712328767123287</v>
      </c>
      <c r="D25" s="8">
        <v>49477.3</v>
      </c>
      <c r="E25" s="7" t="s">
        <v>27</v>
      </c>
      <c r="F25" t="s">
        <v>103</v>
      </c>
      <c r="G25" s="7" t="s">
        <v>38</v>
      </c>
      <c r="H25" t="s">
        <v>17</v>
      </c>
      <c r="I25" t="s">
        <v>44</v>
      </c>
      <c r="J25" s="7" t="s">
        <v>104</v>
      </c>
      <c r="K25" s="7" t="s">
        <v>57</v>
      </c>
      <c r="L25" s="7" t="s">
        <v>41</v>
      </c>
    </row>
    <row r="26" spans="1:12" x14ac:dyDescent="0.2">
      <c r="A26" s="6" t="s">
        <v>105</v>
      </c>
      <c r="B26" s="7" t="s">
        <v>13</v>
      </c>
      <c r="C26" s="9">
        <v>2.1095890410958904</v>
      </c>
      <c r="D26" s="8">
        <v>104058.5</v>
      </c>
      <c r="E26" s="7" t="s">
        <v>54</v>
      </c>
      <c r="F26" t="s">
        <v>106</v>
      </c>
      <c r="G26" s="7" t="s">
        <v>38</v>
      </c>
      <c r="H26" t="s">
        <v>17</v>
      </c>
      <c r="I26" t="s">
        <v>44</v>
      </c>
      <c r="J26" s="7" t="s">
        <v>107</v>
      </c>
      <c r="K26" s="7" t="s">
        <v>57</v>
      </c>
      <c r="L26" s="7" t="s">
        <v>41</v>
      </c>
    </row>
    <row r="27" spans="1:12" x14ac:dyDescent="0.2">
      <c r="A27" s="6" t="s">
        <v>108</v>
      </c>
      <c r="B27" s="7" t="s">
        <v>13</v>
      </c>
      <c r="C27" s="9">
        <v>1.5178082191780822</v>
      </c>
      <c r="D27" s="8">
        <v>16914.400000000001</v>
      </c>
      <c r="E27" s="7" t="s">
        <v>109</v>
      </c>
      <c r="F27" t="s">
        <v>110</v>
      </c>
      <c r="G27" s="7" t="s">
        <v>32</v>
      </c>
      <c r="H27" t="s">
        <v>17</v>
      </c>
      <c r="I27" t="s">
        <v>33</v>
      </c>
      <c r="J27" s="7" t="s">
        <v>111</v>
      </c>
      <c r="K27" s="7" t="s">
        <v>20</v>
      </c>
      <c r="L27" s="7" t="s">
        <v>41</v>
      </c>
    </row>
    <row r="28" spans="1:12" x14ac:dyDescent="0.2">
      <c r="A28" s="6" t="s">
        <v>112</v>
      </c>
      <c r="B28" s="7" t="s">
        <v>13</v>
      </c>
      <c r="C28" s="9">
        <v>1.5698630136986302</v>
      </c>
      <c r="D28" s="8">
        <v>22010</v>
      </c>
      <c r="E28" s="7" t="s">
        <v>113</v>
      </c>
      <c r="F28" t="s">
        <v>114</v>
      </c>
      <c r="G28" s="7" t="s">
        <v>93</v>
      </c>
      <c r="H28" t="s">
        <v>17</v>
      </c>
      <c r="I28" t="s">
        <v>39</v>
      </c>
      <c r="J28" s="7" t="s">
        <v>115</v>
      </c>
      <c r="K28" s="7" t="s">
        <v>20</v>
      </c>
      <c r="L28" s="7" t="s">
        <v>41</v>
      </c>
    </row>
    <row r="29" spans="1:12" x14ac:dyDescent="0.2">
      <c r="A29" s="6" t="s">
        <v>116</v>
      </c>
      <c r="B29" s="7" t="s">
        <v>13</v>
      </c>
      <c r="C29" s="9">
        <v>1.4602739726027398</v>
      </c>
      <c r="D29" s="8">
        <v>19653.2</v>
      </c>
      <c r="E29" s="7" t="s">
        <v>117</v>
      </c>
      <c r="F29" t="s">
        <v>117</v>
      </c>
      <c r="G29" s="7" t="s">
        <v>32</v>
      </c>
      <c r="H29" t="s">
        <v>17</v>
      </c>
      <c r="I29" t="s">
        <v>33</v>
      </c>
      <c r="J29" s="7" t="s">
        <v>115</v>
      </c>
      <c r="K29" s="7" t="s">
        <v>20</v>
      </c>
      <c r="L29" s="7" t="s">
        <v>35</v>
      </c>
    </row>
    <row r="30" spans="1:12" x14ac:dyDescent="0.2">
      <c r="A30" s="6" t="s">
        <v>118</v>
      </c>
      <c r="B30" s="7" t="s">
        <v>13</v>
      </c>
      <c r="C30" s="9">
        <v>1.4027397260273973</v>
      </c>
      <c r="D30" s="8">
        <v>14663.7</v>
      </c>
      <c r="E30" s="7" t="s">
        <v>14</v>
      </c>
      <c r="F30" t="s">
        <v>15</v>
      </c>
      <c r="G30" s="7" t="s">
        <v>43</v>
      </c>
      <c r="H30" t="s">
        <v>17</v>
      </c>
      <c r="I30" t="s">
        <v>39</v>
      </c>
      <c r="J30" s="7" t="s">
        <v>115</v>
      </c>
      <c r="K30" s="7" t="s">
        <v>20</v>
      </c>
      <c r="L30" s="7" t="s">
        <v>41</v>
      </c>
    </row>
    <row r="31" spans="1:12" x14ac:dyDescent="0.2">
      <c r="A31" s="6" t="s">
        <v>119</v>
      </c>
      <c r="B31" s="7" t="s">
        <v>13</v>
      </c>
      <c r="C31" s="9">
        <v>1.3041095890410959</v>
      </c>
      <c r="D31" s="8">
        <v>29547.5</v>
      </c>
      <c r="E31" s="7" t="s">
        <v>14</v>
      </c>
      <c r="F31" t="s">
        <v>15</v>
      </c>
      <c r="G31" s="7" t="s">
        <v>32</v>
      </c>
      <c r="H31" t="s">
        <v>17</v>
      </c>
      <c r="I31" t="s">
        <v>33</v>
      </c>
      <c r="J31" s="7" t="s">
        <v>115</v>
      </c>
      <c r="K31" s="7" t="s">
        <v>20</v>
      </c>
      <c r="L31" s="7" t="s">
        <v>41</v>
      </c>
    </row>
    <row r="32" spans="1:12" x14ac:dyDescent="0.2">
      <c r="A32" s="6" t="s">
        <v>120</v>
      </c>
      <c r="B32" s="7" t="s">
        <v>13</v>
      </c>
      <c r="C32" s="9">
        <v>1.1534246575342466</v>
      </c>
      <c r="D32" s="8">
        <v>27340.2</v>
      </c>
      <c r="E32" s="7" t="s">
        <v>14</v>
      </c>
      <c r="F32" t="s">
        <v>15</v>
      </c>
      <c r="G32" s="7" t="s">
        <v>32</v>
      </c>
      <c r="H32" t="s">
        <v>17</v>
      </c>
      <c r="I32" t="s">
        <v>33</v>
      </c>
      <c r="J32" s="7" t="s">
        <v>115</v>
      </c>
      <c r="K32" s="7" t="s">
        <v>20</v>
      </c>
      <c r="L32" s="7" t="s">
        <v>41</v>
      </c>
    </row>
    <row r="33" spans="1:12" x14ac:dyDescent="0.2">
      <c r="A33" s="6" t="s">
        <v>121</v>
      </c>
      <c r="B33" s="7" t="s">
        <v>13</v>
      </c>
      <c r="C33" s="9">
        <v>1.3808219178082193</v>
      </c>
      <c r="D33" s="8">
        <v>38570.300000000003</v>
      </c>
      <c r="E33" s="7" t="s">
        <v>14</v>
      </c>
      <c r="F33" t="s">
        <v>15</v>
      </c>
      <c r="G33" s="7" t="s">
        <v>43</v>
      </c>
      <c r="H33" t="s">
        <v>17</v>
      </c>
      <c r="I33" t="s">
        <v>39</v>
      </c>
      <c r="J33" s="7" t="s">
        <v>115</v>
      </c>
      <c r="K33" s="7" t="s">
        <v>20</v>
      </c>
      <c r="L33" s="7" t="s">
        <v>41</v>
      </c>
    </row>
    <row r="34" spans="1:12" x14ac:dyDescent="0.2">
      <c r="A34" s="6" t="s">
        <v>122</v>
      </c>
      <c r="B34" s="7" t="s">
        <v>13</v>
      </c>
      <c r="C34" s="9">
        <v>1.1342465753424658</v>
      </c>
      <c r="D34" s="8">
        <v>2412</v>
      </c>
      <c r="E34" s="7" t="s">
        <v>123</v>
      </c>
      <c r="F34" t="s">
        <v>124</v>
      </c>
      <c r="G34" s="7" t="s">
        <v>38</v>
      </c>
      <c r="H34" t="s">
        <v>17</v>
      </c>
      <c r="I34" t="s">
        <v>39</v>
      </c>
      <c r="J34" s="7" t="s">
        <v>125</v>
      </c>
      <c r="K34" s="7" t="s">
        <v>20</v>
      </c>
      <c r="L34" s="7" t="s">
        <v>41</v>
      </c>
    </row>
    <row r="35" spans="1:12" x14ac:dyDescent="0.2">
      <c r="A35" s="6" t="s">
        <v>126</v>
      </c>
      <c r="B35" s="7" t="s">
        <v>13</v>
      </c>
      <c r="C35" s="9">
        <v>1.1534246575342466</v>
      </c>
      <c r="D35" s="8">
        <v>7383.3</v>
      </c>
      <c r="E35" s="7" t="s">
        <v>127</v>
      </c>
      <c r="F35" t="s">
        <v>128</v>
      </c>
      <c r="G35" s="7" t="s">
        <v>32</v>
      </c>
      <c r="H35" t="s">
        <v>17</v>
      </c>
      <c r="I35" t="s">
        <v>33</v>
      </c>
      <c r="J35" s="7" t="s">
        <v>129</v>
      </c>
      <c r="K35" s="7" t="s">
        <v>20</v>
      </c>
      <c r="L35" s="7" t="s">
        <v>41</v>
      </c>
    </row>
    <row r="36" spans="1:12" x14ac:dyDescent="0.2">
      <c r="A36" s="6" t="s">
        <v>130</v>
      </c>
      <c r="B36" s="7" t="s">
        <v>13</v>
      </c>
      <c r="C36" s="9">
        <v>1.095890410958904</v>
      </c>
      <c r="D36" s="8">
        <v>8365.7000000000007</v>
      </c>
      <c r="E36" s="7" t="s">
        <v>127</v>
      </c>
      <c r="F36" t="s">
        <v>131</v>
      </c>
      <c r="G36" s="7" t="s">
        <v>38</v>
      </c>
      <c r="H36" t="s">
        <v>17</v>
      </c>
      <c r="I36" t="s">
        <v>39</v>
      </c>
      <c r="J36" s="7" t="s">
        <v>132</v>
      </c>
      <c r="K36" s="7" t="s">
        <v>20</v>
      </c>
      <c r="L36" s="7" t="s">
        <v>21</v>
      </c>
    </row>
    <row r="37" spans="1:12" x14ac:dyDescent="0.2">
      <c r="A37" s="6" t="s">
        <v>133</v>
      </c>
      <c r="B37" s="7" t="s">
        <v>13</v>
      </c>
      <c r="C37" s="9">
        <v>0.98082191780821915</v>
      </c>
      <c r="D37" s="8">
        <v>12900.2</v>
      </c>
      <c r="E37" s="7" t="s">
        <v>23</v>
      </c>
      <c r="F37" t="s">
        <v>134</v>
      </c>
      <c r="G37" s="7" t="s">
        <v>38</v>
      </c>
      <c r="H37" t="s">
        <v>17</v>
      </c>
      <c r="I37" t="s">
        <v>39</v>
      </c>
      <c r="J37" s="7" t="s">
        <v>135</v>
      </c>
      <c r="K37" s="7" t="s">
        <v>20</v>
      </c>
      <c r="L37" s="7" t="s">
        <v>21</v>
      </c>
    </row>
    <row r="38" spans="1:12" x14ac:dyDescent="0.2">
      <c r="A38" s="6" t="s">
        <v>136</v>
      </c>
      <c r="B38" s="7" t="s">
        <v>13</v>
      </c>
      <c r="C38" s="9">
        <v>1.1342465753424658</v>
      </c>
      <c r="D38" s="8">
        <v>15351.2</v>
      </c>
      <c r="E38" s="7" t="s">
        <v>137</v>
      </c>
      <c r="F38" t="s">
        <v>138</v>
      </c>
      <c r="G38" s="7" t="s">
        <v>93</v>
      </c>
      <c r="H38" t="s">
        <v>17</v>
      </c>
      <c r="I38" t="s">
        <v>39</v>
      </c>
      <c r="J38" s="7" t="s">
        <v>139</v>
      </c>
      <c r="K38" s="7" t="s">
        <v>20</v>
      </c>
      <c r="L38" s="7" t="s">
        <v>21</v>
      </c>
    </row>
    <row r="39" spans="1:12" x14ac:dyDescent="0.2">
      <c r="A39" s="6" t="s">
        <v>140</v>
      </c>
      <c r="B39" s="7" t="s">
        <v>13</v>
      </c>
      <c r="C39" s="9">
        <v>11.942465753424658</v>
      </c>
      <c r="D39" s="8">
        <v>154388.1</v>
      </c>
      <c r="E39" s="7" t="s">
        <v>141</v>
      </c>
      <c r="F39" t="s">
        <v>142</v>
      </c>
      <c r="G39" s="7" t="s">
        <v>16</v>
      </c>
      <c r="H39" t="s">
        <v>17</v>
      </c>
      <c r="I39" t="s">
        <v>18</v>
      </c>
      <c r="J39" s="7" t="s">
        <v>115</v>
      </c>
      <c r="K39" s="7" t="s">
        <v>20</v>
      </c>
      <c r="L39" s="7" t="s">
        <v>41</v>
      </c>
    </row>
    <row r="40" spans="1:12" x14ac:dyDescent="0.2">
      <c r="A40" s="6" t="s">
        <v>143</v>
      </c>
      <c r="B40" s="7" t="s">
        <v>144</v>
      </c>
      <c r="C40" s="9">
        <v>11.75068493150685</v>
      </c>
      <c r="D40" s="8">
        <v>231064.6</v>
      </c>
      <c r="E40" s="7" t="s">
        <v>47</v>
      </c>
      <c r="F40" t="s">
        <v>48</v>
      </c>
      <c r="G40" s="7" t="s">
        <v>38</v>
      </c>
      <c r="H40" t="s">
        <v>17</v>
      </c>
      <c r="I40" t="s">
        <v>145</v>
      </c>
      <c r="J40" s="7" t="s">
        <v>115</v>
      </c>
      <c r="K40" s="7" t="s">
        <v>20</v>
      </c>
      <c r="L40" s="7" t="s">
        <v>41</v>
      </c>
    </row>
    <row r="41" spans="1:12" x14ac:dyDescent="0.2">
      <c r="A41" s="6" t="s">
        <v>146</v>
      </c>
      <c r="B41" s="7" t="s">
        <v>13</v>
      </c>
      <c r="C41" s="9">
        <v>13.271232876712329</v>
      </c>
      <c r="D41" s="8">
        <v>157722.6</v>
      </c>
      <c r="E41" s="7" t="s">
        <v>147</v>
      </c>
      <c r="F41" t="s">
        <v>148</v>
      </c>
      <c r="G41" s="7" t="s">
        <v>16</v>
      </c>
      <c r="H41" t="s">
        <v>17</v>
      </c>
      <c r="I41" t="s">
        <v>18</v>
      </c>
      <c r="J41" s="7" t="s">
        <v>149</v>
      </c>
      <c r="K41" s="7" t="s">
        <v>20</v>
      </c>
      <c r="L41" s="7" t="s">
        <v>21</v>
      </c>
    </row>
    <row r="42" spans="1:12" x14ac:dyDescent="0.2">
      <c r="A42" s="6" t="s">
        <v>150</v>
      </c>
      <c r="B42" s="7" t="s">
        <v>13</v>
      </c>
      <c r="C42" s="9">
        <v>13.057534246575342</v>
      </c>
      <c r="D42" s="8">
        <v>182312.5</v>
      </c>
      <c r="E42" s="7" t="s">
        <v>151</v>
      </c>
      <c r="F42" t="s">
        <v>142</v>
      </c>
      <c r="G42" s="7" t="s">
        <v>16</v>
      </c>
      <c r="H42" t="s">
        <v>17</v>
      </c>
      <c r="I42" t="s">
        <v>152</v>
      </c>
      <c r="J42" s="7" t="s">
        <v>153</v>
      </c>
      <c r="K42" s="7" t="s">
        <v>20</v>
      </c>
      <c r="L42" s="7" t="s">
        <v>21</v>
      </c>
    </row>
    <row r="43" spans="1:12" x14ac:dyDescent="0.2">
      <c r="A43" s="6" t="s">
        <v>154</v>
      </c>
      <c r="B43" s="7" t="s">
        <v>13</v>
      </c>
      <c r="C43" s="9">
        <v>11.731506849315069</v>
      </c>
      <c r="D43" s="8">
        <v>133200.6</v>
      </c>
      <c r="E43" s="7" t="s">
        <v>155</v>
      </c>
      <c r="F43" t="s">
        <v>156</v>
      </c>
      <c r="G43" s="7" t="s">
        <v>16</v>
      </c>
      <c r="H43" t="s">
        <v>17</v>
      </c>
      <c r="I43" t="s">
        <v>18</v>
      </c>
      <c r="J43" s="7" t="s">
        <v>157</v>
      </c>
      <c r="K43" s="7" t="s">
        <v>20</v>
      </c>
      <c r="L43" s="7" t="s">
        <v>41</v>
      </c>
    </row>
    <row r="44" spans="1:12" x14ac:dyDescent="0.2">
      <c r="A44" s="6" t="s">
        <v>158</v>
      </c>
      <c r="B44" s="7" t="s">
        <v>13</v>
      </c>
      <c r="C44" s="9">
        <v>4.7917808219178086</v>
      </c>
      <c r="D44" s="8">
        <v>228530.4</v>
      </c>
      <c r="E44" s="7" t="s">
        <v>54</v>
      </c>
      <c r="F44" t="s">
        <v>159</v>
      </c>
      <c r="G44" s="7" t="s">
        <v>38</v>
      </c>
      <c r="H44" t="s">
        <v>17</v>
      </c>
      <c r="I44" t="s">
        <v>44</v>
      </c>
      <c r="J44" s="7" t="s">
        <v>160</v>
      </c>
      <c r="K44" s="7" t="s">
        <v>20</v>
      </c>
      <c r="L44" s="7" t="s">
        <v>41</v>
      </c>
    </row>
    <row r="45" spans="1:12" x14ac:dyDescent="0.2">
      <c r="A45" s="6" t="s">
        <v>161</v>
      </c>
      <c r="B45" s="7" t="s">
        <v>13</v>
      </c>
      <c r="C45" s="9">
        <v>2.2246575342465755</v>
      </c>
      <c r="D45" s="8">
        <v>78330.899999999994</v>
      </c>
      <c r="E45" s="7" t="s">
        <v>162</v>
      </c>
      <c r="F45" t="s">
        <v>163</v>
      </c>
      <c r="G45" s="7" t="s">
        <v>63</v>
      </c>
      <c r="H45" t="s">
        <v>17</v>
      </c>
      <c r="I45" t="s">
        <v>44</v>
      </c>
      <c r="J45" s="7" t="s">
        <v>115</v>
      </c>
      <c r="K45" s="7" t="s">
        <v>20</v>
      </c>
      <c r="L45" s="7" t="s">
        <v>41</v>
      </c>
    </row>
    <row r="46" spans="1:12" x14ac:dyDescent="0.2">
      <c r="A46" s="6" t="s">
        <v>164</v>
      </c>
      <c r="B46" s="7" t="s">
        <v>13</v>
      </c>
      <c r="C46" s="9">
        <v>2.1835616438356165</v>
      </c>
      <c r="D46" s="8">
        <v>81068.399999999994</v>
      </c>
      <c r="E46" s="7" t="s">
        <v>162</v>
      </c>
      <c r="F46" t="s">
        <v>163</v>
      </c>
      <c r="G46" s="7" t="s">
        <v>63</v>
      </c>
      <c r="H46" t="s">
        <v>17</v>
      </c>
      <c r="I46" t="s">
        <v>44</v>
      </c>
      <c r="J46" s="7" t="s">
        <v>115</v>
      </c>
      <c r="K46" s="7" t="s">
        <v>20</v>
      </c>
      <c r="L46" s="7" t="s">
        <v>41</v>
      </c>
    </row>
    <row r="47" spans="1:12" x14ac:dyDescent="0.2">
      <c r="A47" s="6" t="s">
        <v>165</v>
      </c>
      <c r="B47" s="7" t="s">
        <v>13</v>
      </c>
      <c r="C47" s="9">
        <v>0.30958904109589042</v>
      </c>
      <c r="D47" s="8">
        <v>6094.2</v>
      </c>
      <c r="E47" s="7" t="s">
        <v>162</v>
      </c>
      <c r="F47" t="s">
        <v>163</v>
      </c>
      <c r="G47" s="7" t="s">
        <v>166</v>
      </c>
      <c r="H47" t="s">
        <v>17</v>
      </c>
      <c r="I47" t="s">
        <v>39</v>
      </c>
      <c r="J47" s="7" t="s">
        <v>167</v>
      </c>
      <c r="K47" s="7" t="s">
        <v>20</v>
      </c>
      <c r="L47" s="7" t="s">
        <v>41</v>
      </c>
    </row>
    <row r="48" spans="1:12" x14ac:dyDescent="0.2">
      <c r="A48" s="6" t="s">
        <v>168</v>
      </c>
      <c r="B48" s="7" t="s">
        <v>13</v>
      </c>
      <c r="C48" s="9">
        <v>3.5452054794520547</v>
      </c>
      <c r="D48" s="8">
        <v>103663.7</v>
      </c>
      <c r="E48" s="7" t="s">
        <v>162</v>
      </c>
      <c r="F48" t="s">
        <v>169</v>
      </c>
      <c r="G48" s="7" t="s">
        <v>63</v>
      </c>
      <c r="H48" t="s">
        <v>17</v>
      </c>
      <c r="I48" t="s">
        <v>44</v>
      </c>
      <c r="J48" s="7" t="s">
        <v>170</v>
      </c>
      <c r="K48" s="7" t="s">
        <v>20</v>
      </c>
      <c r="L48" s="7" t="s">
        <v>41</v>
      </c>
    </row>
    <row r="49" spans="1:12" x14ac:dyDescent="0.2">
      <c r="A49" s="6" t="s">
        <v>171</v>
      </c>
      <c r="B49" s="7" t="s">
        <v>13</v>
      </c>
      <c r="C49" s="9">
        <v>4.5041095890410956</v>
      </c>
      <c r="D49" s="8">
        <v>201844.3</v>
      </c>
      <c r="E49" s="7" t="s">
        <v>162</v>
      </c>
      <c r="F49" t="s">
        <v>169</v>
      </c>
      <c r="G49" s="7" t="s">
        <v>63</v>
      </c>
      <c r="H49" t="s">
        <v>17</v>
      </c>
      <c r="I49" t="s">
        <v>44</v>
      </c>
      <c r="J49" s="7" t="s">
        <v>172</v>
      </c>
      <c r="K49" s="7" t="s">
        <v>20</v>
      </c>
      <c r="L49" s="7" t="s">
        <v>41</v>
      </c>
    </row>
    <row r="50" spans="1:12" x14ac:dyDescent="0.2">
      <c r="A50" s="6" t="s">
        <v>173</v>
      </c>
      <c r="B50" s="7" t="s">
        <v>13</v>
      </c>
      <c r="C50" s="9">
        <v>2.7013698630136984</v>
      </c>
      <c r="D50" s="8">
        <v>68819.399999999994</v>
      </c>
      <c r="E50" s="7" t="s">
        <v>174</v>
      </c>
      <c r="F50" t="s">
        <v>175</v>
      </c>
      <c r="G50" s="7" t="s">
        <v>176</v>
      </c>
      <c r="H50" t="s">
        <v>17</v>
      </c>
      <c r="I50" t="s">
        <v>39</v>
      </c>
      <c r="J50" s="7" t="s">
        <v>177</v>
      </c>
      <c r="K50" s="7" t="s">
        <v>20</v>
      </c>
      <c r="L50" s="7" t="s">
        <v>41</v>
      </c>
    </row>
    <row r="51" spans="1:12" x14ac:dyDescent="0.2">
      <c r="A51" s="6" t="s">
        <v>178</v>
      </c>
      <c r="B51" s="7" t="s">
        <v>13</v>
      </c>
      <c r="C51" s="9">
        <v>2.6657534246575341</v>
      </c>
      <c r="D51" s="8">
        <v>88809.5</v>
      </c>
      <c r="E51" s="7" t="s">
        <v>174</v>
      </c>
      <c r="F51" t="s">
        <v>175</v>
      </c>
      <c r="G51" s="7" t="s">
        <v>176</v>
      </c>
      <c r="H51" t="s">
        <v>17</v>
      </c>
      <c r="I51" t="s">
        <v>39</v>
      </c>
      <c r="J51" s="7" t="s">
        <v>179</v>
      </c>
      <c r="K51" s="7" t="s">
        <v>20</v>
      </c>
      <c r="L51" s="7" t="s">
        <v>41</v>
      </c>
    </row>
    <row r="52" spans="1:12" x14ac:dyDescent="0.2">
      <c r="A52" s="6" t="s">
        <v>180</v>
      </c>
      <c r="B52" s="7" t="s">
        <v>13</v>
      </c>
      <c r="C52" s="9">
        <v>2.7972602739726029</v>
      </c>
      <c r="D52" s="8">
        <v>124909.4</v>
      </c>
      <c r="E52" s="7" t="s">
        <v>162</v>
      </c>
      <c r="F52" t="s">
        <v>163</v>
      </c>
      <c r="G52" s="7" t="s">
        <v>63</v>
      </c>
      <c r="H52" t="s">
        <v>17</v>
      </c>
      <c r="I52" t="s">
        <v>44</v>
      </c>
      <c r="J52" s="7" t="s">
        <v>115</v>
      </c>
      <c r="K52" s="7" t="s">
        <v>20</v>
      </c>
      <c r="L52" s="7" t="s">
        <v>41</v>
      </c>
    </row>
    <row r="53" spans="1:12" x14ac:dyDescent="0.2">
      <c r="A53" s="6" t="s">
        <v>181</v>
      </c>
      <c r="B53" s="7" t="s">
        <v>13</v>
      </c>
      <c r="C53" s="9">
        <v>2.7972602739726029</v>
      </c>
      <c r="D53" s="8">
        <v>106501.8</v>
      </c>
      <c r="E53" s="7" t="s">
        <v>162</v>
      </c>
      <c r="F53" t="s">
        <v>163</v>
      </c>
      <c r="G53" s="7" t="s">
        <v>63</v>
      </c>
      <c r="H53" t="s">
        <v>17</v>
      </c>
      <c r="I53" t="s">
        <v>44</v>
      </c>
      <c r="J53" s="7" t="s">
        <v>115</v>
      </c>
      <c r="K53" s="7" t="s">
        <v>20</v>
      </c>
      <c r="L53" s="7" t="s">
        <v>41</v>
      </c>
    </row>
    <row r="54" spans="1:12" x14ac:dyDescent="0.2">
      <c r="A54" s="6" t="s">
        <v>182</v>
      </c>
      <c r="B54" s="7" t="s">
        <v>13</v>
      </c>
      <c r="C54" s="9">
        <v>2.0547945205479454</v>
      </c>
      <c r="D54" s="8">
        <v>48404.2</v>
      </c>
      <c r="E54" s="7" t="s">
        <v>183</v>
      </c>
      <c r="F54" t="s">
        <v>175</v>
      </c>
      <c r="G54" s="7" t="s">
        <v>176</v>
      </c>
      <c r="H54" t="s">
        <v>17</v>
      </c>
      <c r="I54" t="s">
        <v>39</v>
      </c>
      <c r="J54" s="7" t="s">
        <v>184</v>
      </c>
      <c r="K54" s="7" t="s">
        <v>20</v>
      </c>
      <c r="L54" s="7" t="s">
        <v>41</v>
      </c>
    </row>
    <row r="55" spans="1:12" x14ac:dyDescent="0.2">
      <c r="A55" s="6" t="s">
        <v>185</v>
      </c>
      <c r="B55" s="7" t="s">
        <v>13</v>
      </c>
      <c r="C55" s="9">
        <v>0.73150684931506849</v>
      </c>
      <c r="D55" s="8">
        <v>11277.9</v>
      </c>
      <c r="E55" s="7" t="s">
        <v>14</v>
      </c>
      <c r="F55" t="s">
        <v>186</v>
      </c>
      <c r="G55" s="7" t="s">
        <v>176</v>
      </c>
      <c r="H55" t="s">
        <v>17</v>
      </c>
      <c r="I55" t="s">
        <v>39</v>
      </c>
      <c r="J55" s="7" t="s">
        <v>187</v>
      </c>
      <c r="K55" s="7" t="s">
        <v>57</v>
      </c>
      <c r="L55" s="7" t="s">
        <v>41</v>
      </c>
    </row>
    <row r="56" spans="1:12" x14ac:dyDescent="0.2">
      <c r="A56" s="6" t="s">
        <v>188</v>
      </c>
      <c r="B56" s="7" t="s">
        <v>13</v>
      </c>
      <c r="C56" s="9">
        <v>0.82739726027397265</v>
      </c>
      <c r="D56" s="8">
        <v>10655.9</v>
      </c>
      <c r="E56" s="7" t="s">
        <v>189</v>
      </c>
      <c r="F56" t="s">
        <v>190</v>
      </c>
      <c r="G56" s="7" t="s">
        <v>38</v>
      </c>
      <c r="H56" t="s">
        <v>17</v>
      </c>
      <c r="I56" t="s">
        <v>39</v>
      </c>
      <c r="J56" s="7" t="s">
        <v>191</v>
      </c>
      <c r="K56" s="7" t="s">
        <v>20</v>
      </c>
      <c r="L56" s="7" t="s">
        <v>21</v>
      </c>
    </row>
    <row r="57" spans="1:12" x14ac:dyDescent="0.2">
      <c r="A57" s="6" t="s">
        <v>192</v>
      </c>
      <c r="B57" s="7" t="s">
        <v>13</v>
      </c>
      <c r="C57" s="9">
        <v>0.8849315068493151</v>
      </c>
      <c r="D57" s="8">
        <v>10004.700000000001</v>
      </c>
      <c r="E57" s="7" t="s">
        <v>193</v>
      </c>
      <c r="F57" t="s">
        <v>194</v>
      </c>
      <c r="G57" s="7" t="s">
        <v>38</v>
      </c>
      <c r="H57" t="s">
        <v>17</v>
      </c>
      <c r="I57" t="s">
        <v>39</v>
      </c>
      <c r="J57" s="7" t="s">
        <v>195</v>
      </c>
      <c r="K57" s="7" t="s">
        <v>20</v>
      </c>
      <c r="L57" s="7" t="s">
        <v>41</v>
      </c>
    </row>
    <row r="58" spans="1:12" x14ac:dyDescent="0.2">
      <c r="A58" s="6" t="s">
        <v>196</v>
      </c>
      <c r="B58" s="7" t="s">
        <v>13</v>
      </c>
      <c r="C58" s="9">
        <v>0.71232876712328763</v>
      </c>
      <c r="D58" s="8">
        <v>10166.799999999999</v>
      </c>
      <c r="E58" s="7" t="s">
        <v>23</v>
      </c>
      <c r="F58" t="s">
        <v>24</v>
      </c>
      <c r="G58" s="7" t="s">
        <v>38</v>
      </c>
      <c r="H58" t="s">
        <v>17</v>
      </c>
      <c r="I58" t="s">
        <v>39</v>
      </c>
      <c r="J58" s="7" t="s">
        <v>197</v>
      </c>
      <c r="K58" s="7" t="s">
        <v>20</v>
      </c>
      <c r="L58" s="7" t="s">
        <v>41</v>
      </c>
    </row>
    <row r="59" spans="1:12" x14ac:dyDescent="0.2">
      <c r="A59" s="6" t="s">
        <v>198</v>
      </c>
      <c r="B59" s="7" t="s">
        <v>13</v>
      </c>
      <c r="C59" s="9">
        <v>0.82739726027397265</v>
      </c>
      <c r="D59" s="8">
        <v>9856.9</v>
      </c>
      <c r="E59" s="7" t="s">
        <v>193</v>
      </c>
      <c r="F59" t="s">
        <v>194</v>
      </c>
      <c r="G59" s="7" t="s">
        <v>38</v>
      </c>
      <c r="H59" t="s">
        <v>17</v>
      </c>
      <c r="I59" t="s">
        <v>39</v>
      </c>
      <c r="J59" s="7" t="s">
        <v>199</v>
      </c>
      <c r="K59" s="7" t="s">
        <v>20</v>
      </c>
      <c r="L59" s="7" t="s">
        <v>41</v>
      </c>
    </row>
    <row r="60" spans="1:12" x14ac:dyDescent="0.2">
      <c r="A60" s="6" t="s">
        <v>200</v>
      </c>
      <c r="B60" s="7" t="s">
        <v>13</v>
      </c>
      <c r="C60" s="9">
        <v>0.76438356164383559</v>
      </c>
      <c r="D60" s="8">
        <v>31510.6</v>
      </c>
      <c r="E60" s="7" t="s">
        <v>54</v>
      </c>
      <c r="F60" t="s">
        <v>201</v>
      </c>
      <c r="G60" s="7" t="s">
        <v>38</v>
      </c>
      <c r="H60" t="s">
        <v>17</v>
      </c>
      <c r="I60" t="s">
        <v>39</v>
      </c>
      <c r="J60" s="7" t="s">
        <v>202</v>
      </c>
      <c r="K60" s="7" t="s">
        <v>57</v>
      </c>
      <c r="L60" s="7" t="s">
        <v>41</v>
      </c>
    </row>
    <row r="61" spans="1:12" x14ac:dyDescent="0.2">
      <c r="A61" s="6" t="s">
        <v>203</v>
      </c>
      <c r="B61" s="7" t="s">
        <v>13</v>
      </c>
      <c r="C61" s="9">
        <v>0.76438356164383559</v>
      </c>
      <c r="D61" s="8">
        <v>34352.300000000003</v>
      </c>
      <c r="E61" s="7" t="s">
        <v>54</v>
      </c>
      <c r="F61" t="s">
        <v>204</v>
      </c>
      <c r="G61" s="7" t="s">
        <v>38</v>
      </c>
      <c r="H61" t="s">
        <v>17</v>
      </c>
      <c r="I61" t="s">
        <v>39</v>
      </c>
      <c r="J61" s="7" t="s">
        <v>205</v>
      </c>
      <c r="K61" s="7" t="s">
        <v>57</v>
      </c>
      <c r="L61" s="7" t="s">
        <v>41</v>
      </c>
    </row>
    <row r="62" spans="1:12" x14ac:dyDescent="0.2">
      <c r="A62" s="6" t="s">
        <v>206</v>
      </c>
      <c r="B62" s="7" t="s">
        <v>13</v>
      </c>
      <c r="C62" s="9">
        <v>0.76438356164383559</v>
      </c>
      <c r="D62" s="8">
        <v>18458.2</v>
      </c>
      <c r="E62" s="7" t="s">
        <v>54</v>
      </c>
      <c r="F62" t="s">
        <v>207</v>
      </c>
      <c r="G62" s="7" t="s">
        <v>38</v>
      </c>
      <c r="H62" t="s">
        <v>17</v>
      </c>
      <c r="I62" t="s">
        <v>39</v>
      </c>
      <c r="J62" s="7" t="s">
        <v>208</v>
      </c>
      <c r="K62" s="7" t="s">
        <v>57</v>
      </c>
      <c r="L62" s="7" t="s">
        <v>41</v>
      </c>
    </row>
    <row r="63" spans="1:12" x14ac:dyDescent="0.2">
      <c r="A63" s="6" t="s">
        <v>209</v>
      </c>
      <c r="B63" s="7" t="s">
        <v>210</v>
      </c>
      <c r="C63" s="9">
        <v>0.27123287671232876</v>
      </c>
      <c r="D63" s="8">
        <v>3087.5</v>
      </c>
      <c r="E63" s="7" t="s">
        <v>151</v>
      </c>
      <c r="F63" t="s">
        <v>211</v>
      </c>
      <c r="G63" s="7" t="s">
        <v>212</v>
      </c>
      <c r="H63" t="s">
        <v>17</v>
      </c>
      <c r="I63" t="s">
        <v>39</v>
      </c>
      <c r="J63" s="7" t="s">
        <v>213</v>
      </c>
      <c r="K63" s="7" t="s">
        <v>20</v>
      </c>
      <c r="L63" s="7" t="s">
        <v>41</v>
      </c>
    </row>
    <row r="64" spans="1:12" x14ac:dyDescent="0.2">
      <c r="A64" s="6" t="s">
        <v>214</v>
      </c>
      <c r="B64" s="7" t="s">
        <v>13</v>
      </c>
      <c r="C64" s="9">
        <v>1.1917808219178083</v>
      </c>
      <c r="D64" s="8">
        <v>24973.4</v>
      </c>
      <c r="E64" s="7" t="s">
        <v>54</v>
      </c>
      <c r="F64" t="s">
        <v>215</v>
      </c>
      <c r="G64" s="7" t="s">
        <v>38</v>
      </c>
      <c r="H64" t="s">
        <v>17</v>
      </c>
      <c r="I64" t="s">
        <v>39</v>
      </c>
      <c r="J64" s="7" t="s">
        <v>216</v>
      </c>
      <c r="K64" s="7" t="s">
        <v>57</v>
      </c>
      <c r="L64" s="7" t="s">
        <v>41</v>
      </c>
    </row>
    <row r="65" spans="1:12" x14ac:dyDescent="0.2">
      <c r="A65" s="6" t="s">
        <v>217</v>
      </c>
      <c r="B65" s="7" t="s">
        <v>13</v>
      </c>
      <c r="C65" s="9">
        <v>1.1726027397260275</v>
      </c>
      <c r="D65" s="8">
        <v>16919</v>
      </c>
      <c r="E65" s="7" t="s">
        <v>23</v>
      </c>
      <c r="F65" t="s">
        <v>24</v>
      </c>
      <c r="G65" s="7" t="s">
        <v>38</v>
      </c>
      <c r="H65" t="s">
        <v>17</v>
      </c>
      <c r="I65" t="s">
        <v>39</v>
      </c>
      <c r="J65" s="7" t="s">
        <v>218</v>
      </c>
      <c r="K65" s="7" t="s">
        <v>20</v>
      </c>
      <c r="L65" s="7" t="s">
        <v>41</v>
      </c>
    </row>
    <row r="66" spans="1:12" x14ac:dyDescent="0.2">
      <c r="A66" s="6" t="s">
        <v>219</v>
      </c>
      <c r="B66" s="7" t="s">
        <v>13</v>
      </c>
      <c r="C66" s="9">
        <v>0.76438356164383559</v>
      </c>
      <c r="D66" s="8">
        <v>12566.9</v>
      </c>
      <c r="E66" s="7" t="s">
        <v>14</v>
      </c>
      <c r="F66" t="s">
        <v>186</v>
      </c>
      <c r="G66" s="7" t="s">
        <v>176</v>
      </c>
      <c r="H66" t="s">
        <v>17</v>
      </c>
      <c r="I66" t="s">
        <v>39</v>
      </c>
      <c r="J66" s="7" t="s">
        <v>220</v>
      </c>
      <c r="K66" s="7" t="s">
        <v>20</v>
      </c>
      <c r="L66" s="7" t="s">
        <v>41</v>
      </c>
    </row>
    <row r="67" spans="1:12" x14ac:dyDescent="0.2">
      <c r="A67" s="6" t="s">
        <v>221</v>
      </c>
      <c r="B67" s="7" t="s">
        <v>13</v>
      </c>
      <c r="C67" s="9">
        <v>1.1534246575342466</v>
      </c>
      <c r="D67" s="8">
        <v>13461.4</v>
      </c>
      <c r="E67" s="7" t="s">
        <v>23</v>
      </c>
      <c r="F67" t="s">
        <v>24</v>
      </c>
      <c r="G67" s="7" t="s">
        <v>38</v>
      </c>
      <c r="H67" t="s">
        <v>17</v>
      </c>
      <c r="I67" t="s">
        <v>39</v>
      </c>
      <c r="J67" s="7" t="s">
        <v>197</v>
      </c>
      <c r="K67" s="7" t="s">
        <v>20</v>
      </c>
      <c r="L67" s="7" t="s">
        <v>41</v>
      </c>
    </row>
    <row r="68" spans="1:12" x14ac:dyDescent="0.2">
      <c r="A68" s="6" t="s">
        <v>222</v>
      </c>
      <c r="B68" s="7" t="s">
        <v>13</v>
      </c>
      <c r="C68" s="9">
        <v>0.71232876712328763</v>
      </c>
      <c r="D68" s="8">
        <v>8894.4</v>
      </c>
      <c r="E68" s="7" t="s">
        <v>23</v>
      </c>
      <c r="F68" t="s">
        <v>24</v>
      </c>
      <c r="G68" s="7" t="s">
        <v>38</v>
      </c>
      <c r="H68" t="s">
        <v>17</v>
      </c>
      <c r="I68" t="s">
        <v>39</v>
      </c>
      <c r="J68" s="7" t="s">
        <v>223</v>
      </c>
      <c r="K68" s="7" t="s">
        <v>20</v>
      </c>
      <c r="L68" s="7" t="s">
        <v>41</v>
      </c>
    </row>
    <row r="69" spans="1:12" x14ac:dyDescent="0.2">
      <c r="A69" s="6" t="s">
        <v>224</v>
      </c>
      <c r="B69" s="7" t="s">
        <v>13</v>
      </c>
      <c r="C69" s="9">
        <v>0.69315068493150689</v>
      </c>
      <c r="D69" s="8">
        <v>10748.2</v>
      </c>
      <c r="E69" s="7" t="s">
        <v>23</v>
      </c>
      <c r="F69" t="s">
        <v>24</v>
      </c>
      <c r="G69" s="7" t="s">
        <v>38</v>
      </c>
      <c r="H69" t="s">
        <v>17</v>
      </c>
      <c r="I69" t="s">
        <v>39</v>
      </c>
      <c r="J69" s="7" t="s">
        <v>225</v>
      </c>
      <c r="K69" s="7" t="s">
        <v>20</v>
      </c>
      <c r="L69" s="7" t="s">
        <v>41</v>
      </c>
    </row>
    <row r="70" spans="1:12" x14ac:dyDescent="0.2">
      <c r="A70" s="6" t="s">
        <v>226</v>
      </c>
      <c r="B70" s="7" t="s">
        <v>13</v>
      </c>
      <c r="C70" s="9">
        <v>1.0328767123287672</v>
      </c>
      <c r="D70" s="8">
        <v>11874.1</v>
      </c>
      <c r="E70" s="7" t="s">
        <v>117</v>
      </c>
      <c r="F70" t="s">
        <v>227</v>
      </c>
      <c r="G70" s="7" t="s">
        <v>32</v>
      </c>
      <c r="H70" t="s">
        <v>17</v>
      </c>
      <c r="I70" t="s">
        <v>33</v>
      </c>
      <c r="J70" s="7" t="s">
        <v>115</v>
      </c>
      <c r="K70" s="7" t="s">
        <v>20</v>
      </c>
      <c r="L70" s="7" t="s">
        <v>41</v>
      </c>
    </row>
    <row r="71" spans="1:12" x14ac:dyDescent="0.2">
      <c r="A71" s="6" t="s">
        <v>228</v>
      </c>
      <c r="B71" s="7" t="s">
        <v>13</v>
      </c>
      <c r="C71" s="9">
        <v>0.65479452054794518</v>
      </c>
      <c r="D71" s="8">
        <v>9267.1</v>
      </c>
      <c r="E71" s="7" t="s">
        <v>14</v>
      </c>
      <c r="F71" t="s">
        <v>229</v>
      </c>
      <c r="G71" s="7" t="s">
        <v>230</v>
      </c>
      <c r="H71" t="s">
        <v>17</v>
      </c>
      <c r="I71" t="s">
        <v>39</v>
      </c>
      <c r="J71" s="7" t="s">
        <v>115</v>
      </c>
      <c r="K71" s="7" t="s">
        <v>20</v>
      </c>
      <c r="L71" s="7" t="s">
        <v>41</v>
      </c>
    </row>
    <row r="72" spans="1:12" x14ac:dyDescent="0.2">
      <c r="A72" s="6" t="s">
        <v>231</v>
      </c>
      <c r="B72" s="7" t="s">
        <v>13</v>
      </c>
      <c r="C72" s="9">
        <v>0.84657534246575339</v>
      </c>
      <c r="D72" s="8">
        <v>7958.9</v>
      </c>
      <c r="E72" s="7" t="s">
        <v>14</v>
      </c>
      <c r="F72" t="s">
        <v>229</v>
      </c>
      <c r="G72" s="7" t="s">
        <v>230</v>
      </c>
      <c r="H72" t="s">
        <v>17</v>
      </c>
      <c r="I72" t="s">
        <v>39</v>
      </c>
      <c r="J72" s="7" t="s">
        <v>115</v>
      </c>
      <c r="K72" s="7" t="s">
        <v>20</v>
      </c>
      <c r="L72" s="7" t="s">
        <v>41</v>
      </c>
    </row>
    <row r="73" spans="1:12" x14ac:dyDescent="0.2">
      <c r="A73" s="6" t="s">
        <v>232</v>
      </c>
      <c r="B73" s="7" t="s">
        <v>13</v>
      </c>
      <c r="C73" s="9">
        <v>0.15342465753424658</v>
      </c>
      <c r="D73" s="8" t="s">
        <v>20</v>
      </c>
      <c r="E73" s="7" t="s">
        <v>27</v>
      </c>
      <c r="F73" t="s">
        <v>28</v>
      </c>
      <c r="G73" s="7" t="s">
        <v>43</v>
      </c>
      <c r="H73" t="s">
        <v>17</v>
      </c>
      <c r="I73" t="s">
        <v>233</v>
      </c>
      <c r="J73" s="7" t="s">
        <v>234</v>
      </c>
      <c r="K73" s="7" t="s">
        <v>57</v>
      </c>
      <c r="L73" s="7" t="s">
        <v>41</v>
      </c>
    </row>
    <row r="74" spans="1:12" x14ac:dyDescent="0.2">
      <c r="A74" s="6" t="s">
        <v>235</v>
      </c>
      <c r="B74" s="7" t="s">
        <v>13</v>
      </c>
      <c r="C74" s="9">
        <v>0.36164383561643837</v>
      </c>
      <c r="D74" s="8">
        <v>1216.9000000000001</v>
      </c>
      <c r="E74" s="7" t="s">
        <v>23</v>
      </c>
      <c r="F74" t="s">
        <v>236</v>
      </c>
      <c r="G74" s="7" t="s">
        <v>38</v>
      </c>
      <c r="H74" t="s">
        <v>17</v>
      </c>
      <c r="I74" t="s">
        <v>39</v>
      </c>
      <c r="J74" s="7" t="s">
        <v>237</v>
      </c>
      <c r="K74" s="7" t="s">
        <v>20</v>
      </c>
      <c r="L74" s="7" t="s">
        <v>41</v>
      </c>
    </row>
    <row r="75" spans="1:12" x14ac:dyDescent="0.2">
      <c r="A75" s="6" t="s">
        <v>238</v>
      </c>
      <c r="B75" s="7" t="s">
        <v>13</v>
      </c>
      <c r="C75" s="9">
        <v>9.5890410958904104E-2</v>
      </c>
      <c r="D75" s="8" t="s">
        <v>20</v>
      </c>
      <c r="E75" s="7" t="s">
        <v>27</v>
      </c>
      <c r="F75" t="s">
        <v>28</v>
      </c>
      <c r="G75" s="7" t="s">
        <v>43</v>
      </c>
      <c r="H75" t="s">
        <v>17</v>
      </c>
      <c r="I75" t="s">
        <v>233</v>
      </c>
      <c r="J75" s="7" t="s">
        <v>239</v>
      </c>
      <c r="K75" s="7" t="s">
        <v>57</v>
      </c>
      <c r="L75" s="7" t="s">
        <v>41</v>
      </c>
    </row>
    <row r="76" spans="1:12" x14ac:dyDescent="0.2">
      <c r="A76" s="6" t="s">
        <v>240</v>
      </c>
      <c r="B76" s="7" t="s">
        <v>13</v>
      </c>
      <c r="C76" s="9">
        <v>0.15616438356164383</v>
      </c>
      <c r="D76" s="8" t="s">
        <v>20</v>
      </c>
      <c r="E76" s="7" t="s">
        <v>54</v>
      </c>
      <c r="F76" t="s">
        <v>241</v>
      </c>
      <c r="G76" s="7" t="s">
        <v>38</v>
      </c>
      <c r="H76" t="s">
        <v>17</v>
      </c>
      <c r="I76" t="s">
        <v>233</v>
      </c>
      <c r="J76" s="7" t="s">
        <v>242</v>
      </c>
      <c r="K76" s="7" t="s">
        <v>57</v>
      </c>
      <c r="L76" s="7" t="s">
        <v>41</v>
      </c>
    </row>
    <row r="77" spans="1:12" x14ac:dyDescent="0.2">
      <c r="A77" s="6" t="s">
        <v>243</v>
      </c>
      <c r="B77" s="7" t="s">
        <v>13</v>
      </c>
      <c r="C77" s="9">
        <v>0.48219178082191783</v>
      </c>
      <c r="D77" s="8">
        <v>9251.2999999999993</v>
      </c>
      <c r="E77" s="7" t="s">
        <v>23</v>
      </c>
      <c r="F77" t="s">
        <v>134</v>
      </c>
      <c r="G77" s="7" t="s">
        <v>38</v>
      </c>
      <c r="H77" t="s">
        <v>17</v>
      </c>
      <c r="I77" t="s">
        <v>39</v>
      </c>
      <c r="J77" s="7" t="s">
        <v>244</v>
      </c>
      <c r="K77" s="7" t="s">
        <v>20</v>
      </c>
      <c r="L77" s="7" t="s">
        <v>41</v>
      </c>
    </row>
    <row r="78" spans="1:12" x14ac:dyDescent="0.2">
      <c r="A78" s="6" t="s">
        <v>245</v>
      </c>
      <c r="B78" s="7" t="s">
        <v>13</v>
      </c>
      <c r="C78" s="9">
        <v>0.15342465753424658</v>
      </c>
      <c r="D78" s="8" t="s">
        <v>20</v>
      </c>
      <c r="E78" s="7" t="s">
        <v>54</v>
      </c>
      <c r="F78" t="s">
        <v>246</v>
      </c>
      <c r="G78" s="7" t="s">
        <v>38</v>
      </c>
      <c r="H78" t="s">
        <v>17</v>
      </c>
      <c r="I78" t="s">
        <v>233</v>
      </c>
      <c r="J78" s="7" t="s">
        <v>247</v>
      </c>
      <c r="K78" s="7" t="s">
        <v>57</v>
      </c>
      <c r="L78" s="7" t="s">
        <v>41</v>
      </c>
    </row>
    <row r="79" spans="1:12" x14ac:dyDescent="0.2">
      <c r="A79" s="6" t="s">
        <v>248</v>
      </c>
      <c r="B79" s="7" t="s">
        <v>13</v>
      </c>
      <c r="C79" s="9">
        <v>0.21095890410958903</v>
      </c>
      <c r="D79" s="8">
        <v>1433.5</v>
      </c>
      <c r="E79" s="7" t="s">
        <v>54</v>
      </c>
      <c r="F79" t="s">
        <v>159</v>
      </c>
      <c r="G79" s="7" t="s">
        <v>38</v>
      </c>
      <c r="H79" t="s">
        <v>17</v>
      </c>
      <c r="I79" t="s">
        <v>233</v>
      </c>
      <c r="J79" s="7" t="s">
        <v>249</v>
      </c>
      <c r="K79" s="7" t="s">
        <v>57</v>
      </c>
      <c r="L79" s="7" t="s">
        <v>41</v>
      </c>
    </row>
    <row r="80" spans="1:12" x14ac:dyDescent="0.2">
      <c r="A80" s="6" t="s">
        <v>250</v>
      </c>
      <c r="B80" s="7" t="s">
        <v>13</v>
      </c>
      <c r="C80" s="9">
        <v>0.19452054794520549</v>
      </c>
      <c r="D80" s="8" t="s">
        <v>20</v>
      </c>
      <c r="E80" s="7" t="s">
        <v>54</v>
      </c>
      <c r="F80" t="s">
        <v>251</v>
      </c>
      <c r="G80" s="7" t="s">
        <v>38</v>
      </c>
      <c r="H80" t="s">
        <v>17</v>
      </c>
      <c r="I80" t="s">
        <v>233</v>
      </c>
      <c r="J80" s="7" t="s">
        <v>252</v>
      </c>
      <c r="K80" s="7" t="s">
        <v>57</v>
      </c>
      <c r="L80" s="7" t="s">
        <v>41</v>
      </c>
    </row>
    <row r="81" spans="1:12" x14ac:dyDescent="0.2">
      <c r="A81" s="6" t="s">
        <v>253</v>
      </c>
      <c r="B81" s="7" t="s">
        <v>13</v>
      </c>
      <c r="C81" s="9">
        <v>0.17534246575342466</v>
      </c>
      <c r="D81" s="8" t="s">
        <v>20</v>
      </c>
      <c r="E81" s="7" t="s">
        <v>54</v>
      </c>
      <c r="F81" t="s">
        <v>201</v>
      </c>
      <c r="G81" s="7" t="s">
        <v>38</v>
      </c>
      <c r="H81" t="s">
        <v>17</v>
      </c>
      <c r="I81" t="s">
        <v>254</v>
      </c>
      <c r="J81" s="7" t="s">
        <v>255</v>
      </c>
      <c r="K81" s="7" t="s">
        <v>57</v>
      </c>
      <c r="L81" s="7" t="s">
        <v>41</v>
      </c>
    </row>
    <row r="82" spans="1:12" x14ac:dyDescent="0.2">
      <c r="A82" s="6" t="s">
        <v>256</v>
      </c>
      <c r="B82" s="7" t="s">
        <v>13</v>
      </c>
      <c r="C82" s="9">
        <v>0.17534246575342466</v>
      </c>
      <c r="D82" s="8" t="s">
        <v>20</v>
      </c>
      <c r="E82" s="7" t="s">
        <v>54</v>
      </c>
      <c r="F82" t="s">
        <v>201</v>
      </c>
      <c r="G82" s="7" t="s">
        <v>38</v>
      </c>
      <c r="H82" t="s">
        <v>17</v>
      </c>
      <c r="I82" t="s">
        <v>233</v>
      </c>
      <c r="J82" s="7" t="s">
        <v>257</v>
      </c>
      <c r="K82" s="7" t="s">
        <v>57</v>
      </c>
      <c r="L82" s="7" t="s">
        <v>41</v>
      </c>
    </row>
    <row r="83" spans="1:12" x14ac:dyDescent="0.2">
      <c r="A83" s="6" t="s">
        <v>258</v>
      </c>
      <c r="B83" s="7" t="s">
        <v>13</v>
      </c>
      <c r="C83" s="9">
        <v>0.23287671232876711</v>
      </c>
      <c r="D83" s="8">
        <v>884.5</v>
      </c>
      <c r="E83" s="7" t="s">
        <v>54</v>
      </c>
      <c r="F83" t="s">
        <v>259</v>
      </c>
      <c r="G83" s="7" t="s">
        <v>38</v>
      </c>
      <c r="H83" t="s">
        <v>17</v>
      </c>
      <c r="I83" t="s">
        <v>233</v>
      </c>
      <c r="J83" s="7" t="s">
        <v>260</v>
      </c>
      <c r="K83" s="7" t="s">
        <v>57</v>
      </c>
      <c r="L83" s="7" t="s">
        <v>41</v>
      </c>
    </row>
    <row r="84" spans="1:12" x14ac:dyDescent="0.2">
      <c r="A84" s="6" t="s">
        <v>261</v>
      </c>
      <c r="B84" s="7" t="s">
        <v>13</v>
      </c>
      <c r="C84" s="9">
        <v>13</v>
      </c>
      <c r="D84" s="8">
        <v>223259.3</v>
      </c>
      <c r="E84" s="7" t="s">
        <v>14</v>
      </c>
      <c r="F84" t="s">
        <v>262</v>
      </c>
      <c r="G84" s="7" t="s">
        <v>32</v>
      </c>
      <c r="H84" t="s">
        <v>17</v>
      </c>
      <c r="I84" t="s">
        <v>152</v>
      </c>
      <c r="J84" s="7" t="s">
        <v>115</v>
      </c>
      <c r="K84" s="7" t="s">
        <v>20</v>
      </c>
      <c r="L84" s="7" t="s">
        <v>21</v>
      </c>
    </row>
    <row r="85" spans="1:12" x14ac:dyDescent="0.2">
      <c r="A85" s="6" t="s">
        <v>263</v>
      </c>
      <c r="B85" s="7" t="s">
        <v>13</v>
      </c>
      <c r="C85" s="9">
        <v>13</v>
      </c>
      <c r="D85" s="8">
        <v>190348.6</v>
      </c>
      <c r="E85" s="7" t="s">
        <v>23</v>
      </c>
      <c r="F85" t="s">
        <v>24</v>
      </c>
      <c r="G85" s="7" t="s">
        <v>16</v>
      </c>
      <c r="H85" t="s">
        <v>17</v>
      </c>
      <c r="I85" t="s">
        <v>18</v>
      </c>
      <c r="J85" s="7" t="s">
        <v>115</v>
      </c>
      <c r="K85" s="7" t="s">
        <v>20</v>
      </c>
      <c r="L85" s="7" t="s">
        <v>21</v>
      </c>
    </row>
    <row r="86" spans="1:12" x14ac:dyDescent="0.2">
      <c r="A86" s="6" t="s">
        <v>264</v>
      </c>
      <c r="B86" s="7" t="s">
        <v>13</v>
      </c>
      <c r="C86" s="9">
        <v>13</v>
      </c>
      <c r="D86" s="8">
        <v>221798.9</v>
      </c>
      <c r="E86" s="7" t="s">
        <v>141</v>
      </c>
      <c r="F86" t="s">
        <v>142</v>
      </c>
      <c r="G86" s="7" t="s">
        <v>265</v>
      </c>
      <c r="H86" t="s">
        <v>17</v>
      </c>
      <c r="I86" t="s">
        <v>18</v>
      </c>
      <c r="J86" s="7" t="s">
        <v>115</v>
      </c>
      <c r="K86" s="7" t="s">
        <v>20</v>
      </c>
      <c r="L86" s="7" t="s">
        <v>41</v>
      </c>
    </row>
    <row r="87" spans="1:12" x14ac:dyDescent="0.2">
      <c r="A87" s="6" t="s">
        <v>266</v>
      </c>
      <c r="B87" s="7" t="s">
        <v>267</v>
      </c>
      <c r="C87" s="9">
        <v>11.673972602739726</v>
      </c>
      <c r="D87" s="8">
        <v>90360.1</v>
      </c>
      <c r="E87" s="7" t="s">
        <v>268</v>
      </c>
      <c r="F87" t="s">
        <v>269</v>
      </c>
      <c r="G87" s="7" t="s">
        <v>267</v>
      </c>
      <c r="H87" t="s">
        <v>17</v>
      </c>
      <c r="I87" t="s">
        <v>44</v>
      </c>
      <c r="J87" s="7" t="s">
        <v>270</v>
      </c>
      <c r="K87" s="7" t="s">
        <v>20</v>
      </c>
      <c r="L87" s="7" t="s">
        <v>267</v>
      </c>
    </row>
    <row r="88" spans="1:12" x14ac:dyDescent="0.2">
      <c r="A88" s="6" t="s">
        <v>271</v>
      </c>
      <c r="B88" s="7" t="s">
        <v>13</v>
      </c>
      <c r="C88" s="9">
        <v>11.827397260273973</v>
      </c>
      <c r="D88" s="8">
        <v>208968.6</v>
      </c>
      <c r="E88" s="7" t="s">
        <v>27</v>
      </c>
      <c r="F88" t="s">
        <v>28</v>
      </c>
      <c r="G88" s="7" t="s">
        <v>16</v>
      </c>
      <c r="H88" t="s">
        <v>17</v>
      </c>
      <c r="I88" t="s">
        <v>18</v>
      </c>
      <c r="J88" s="7" t="s">
        <v>272</v>
      </c>
      <c r="K88" s="7" t="s">
        <v>20</v>
      </c>
      <c r="L88" s="7" t="s">
        <v>21</v>
      </c>
    </row>
    <row r="89" spans="1:12" x14ac:dyDescent="0.2">
      <c r="A89" s="6" t="s">
        <v>273</v>
      </c>
      <c r="B89" s="7" t="s">
        <v>13</v>
      </c>
      <c r="C89" s="9">
        <v>9.7178082191780817</v>
      </c>
      <c r="D89" s="8">
        <v>272505.90000000002</v>
      </c>
      <c r="E89" s="7" t="s">
        <v>54</v>
      </c>
      <c r="F89" t="s">
        <v>274</v>
      </c>
      <c r="G89" s="7" t="s">
        <v>43</v>
      </c>
      <c r="H89" t="s">
        <v>17</v>
      </c>
      <c r="I89" t="s">
        <v>44</v>
      </c>
      <c r="J89" s="7" t="s">
        <v>275</v>
      </c>
      <c r="K89" s="7" t="s">
        <v>57</v>
      </c>
      <c r="L89" s="7" t="s">
        <v>276</v>
      </c>
    </row>
    <row r="90" spans="1:12" x14ac:dyDescent="0.2">
      <c r="A90" s="6" t="s">
        <v>277</v>
      </c>
      <c r="B90" s="7" t="s">
        <v>267</v>
      </c>
      <c r="C90" s="9">
        <v>5.558904109589041</v>
      </c>
      <c r="D90" s="8">
        <v>42340.800000000003</v>
      </c>
      <c r="E90" s="7" t="s">
        <v>278</v>
      </c>
      <c r="F90" t="s">
        <v>278</v>
      </c>
      <c r="G90" s="7" t="s">
        <v>279</v>
      </c>
      <c r="H90" t="s">
        <v>17</v>
      </c>
      <c r="I90" t="s">
        <v>44</v>
      </c>
      <c r="J90" s="7" t="s">
        <v>270</v>
      </c>
      <c r="K90" s="7" t="s">
        <v>20</v>
      </c>
      <c r="L90" s="7" t="s">
        <v>267</v>
      </c>
    </row>
    <row r="91" spans="1:12" x14ac:dyDescent="0.2">
      <c r="A91" s="6" t="s">
        <v>280</v>
      </c>
      <c r="B91" s="7" t="s">
        <v>13</v>
      </c>
      <c r="C91" s="9">
        <v>4.6767123287671231</v>
      </c>
      <c r="D91" s="8">
        <v>204105.4</v>
      </c>
      <c r="E91" s="7" t="s">
        <v>54</v>
      </c>
      <c r="F91" t="s">
        <v>281</v>
      </c>
      <c r="G91" s="7" t="s">
        <v>38</v>
      </c>
      <c r="H91" t="s">
        <v>17</v>
      </c>
      <c r="I91" t="s">
        <v>44</v>
      </c>
      <c r="J91" s="7" t="s">
        <v>282</v>
      </c>
      <c r="K91" s="7" t="s">
        <v>57</v>
      </c>
      <c r="L91" s="7" t="s">
        <v>41</v>
      </c>
    </row>
    <row r="92" spans="1:12" x14ac:dyDescent="0.2">
      <c r="A92" s="6" t="s">
        <v>283</v>
      </c>
      <c r="B92" s="7" t="s">
        <v>13</v>
      </c>
      <c r="C92" s="9">
        <v>4.9260273972602739</v>
      </c>
      <c r="D92" s="8">
        <v>71956.3</v>
      </c>
      <c r="E92" s="7" t="s">
        <v>23</v>
      </c>
      <c r="F92" t="s">
        <v>134</v>
      </c>
      <c r="G92" s="7" t="s">
        <v>38</v>
      </c>
      <c r="H92" t="s">
        <v>17</v>
      </c>
      <c r="I92" t="s">
        <v>39</v>
      </c>
      <c r="J92" s="7" t="s">
        <v>284</v>
      </c>
      <c r="K92" s="7" t="s">
        <v>20</v>
      </c>
      <c r="L92" s="7" t="s">
        <v>276</v>
      </c>
    </row>
    <row r="93" spans="1:12" x14ac:dyDescent="0.2">
      <c r="A93" s="6" t="s">
        <v>285</v>
      </c>
      <c r="B93" s="7" t="s">
        <v>13</v>
      </c>
      <c r="C93" s="9">
        <v>4.9671232876712326</v>
      </c>
      <c r="D93" s="8">
        <v>67681.899999999994</v>
      </c>
      <c r="E93" s="7" t="s">
        <v>23</v>
      </c>
      <c r="F93" t="s">
        <v>134</v>
      </c>
      <c r="G93" s="7" t="s">
        <v>38</v>
      </c>
      <c r="H93" t="s">
        <v>17</v>
      </c>
      <c r="I93" t="s">
        <v>39</v>
      </c>
      <c r="J93" s="7" t="s">
        <v>286</v>
      </c>
      <c r="K93" s="7" t="s">
        <v>20</v>
      </c>
      <c r="L93" s="7" t="s">
        <v>276</v>
      </c>
    </row>
    <row r="94" spans="1:12" x14ac:dyDescent="0.2">
      <c r="A94" s="6" t="s">
        <v>287</v>
      </c>
      <c r="B94" s="7" t="s">
        <v>13</v>
      </c>
      <c r="C94" s="9">
        <v>4.7917808219178086</v>
      </c>
      <c r="D94" s="8">
        <v>98593</v>
      </c>
      <c r="E94" s="7" t="s">
        <v>54</v>
      </c>
      <c r="F94" t="s">
        <v>288</v>
      </c>
      <c r="G94" s="7" t="s">
        <v>32</v>
      </c>
      <c r="H94" t="s">
        <v>17</v>
      </c>
      <c r="I94" t="s">
        <v>33</v>
      </c>
      <c r="J94" s="7" t="s">
        <v>289</v>
      </c>
      <c r="K94" s="7" t="s">
        <v>20</v>
      </c>
      <c r="L94" s="7" t="s">
        <v>21</v>
      </c>
    </row>
    <row r="95" spans="1:12" x14ac:dyDescent="0.2">
      <c r="A95" s="6" t="s">
        <v>290</v>
      </c>
      <c r="B95" s="7" t="s">
        <v>13</v>
      </c>
      <c r="C95" s="9">
        <v>4.9452054794520546</v>
      </c>
      <c r="D95" s="8">
        <v>89988.9</v>
      </c>
      <c r="E95" s="7" t="s">
        <v>54</v>
      </c>
      <c r="F95" t="s">
        <v>291</v>
      </c>
      <c r="G95" s="7" t="s">
        <v>32</v>
      </c>
      <c r="H95" t="s">
        <v>17</v>
      </c>
      <c r="I95" t="s">
        <v>33</v>
      </c>
      <c r="J95" s="7" t="s">
        <v>292</v>
      </c>
      <c r="K95" s="7" t="s">
        <v>20</v>
      </c>
      <c r="L95" s="7" t="s">
        <v>21</v>
      </c>
    </row>
    <row r="96" spans="1:12" x14ac:dyDescent="0.2">
      <c r="A96" s="6" t="s">
        <v>293</v>
      </c>
      <c r="B96" s="7" t="s">
        <v>13</v>
      </c>
      <c r="C96" s="9">
        <v>4.9452054794520546</v>
      </c>
      <c r="D96" s="8">
        <v>38896.6</v>
      </c>
      <c r="E96" s="7" t="s">
        <v>23</v>
      </c>
      <c r="F96" t="s">
        <v>294</v>
      </c>
      <c r="G96" s="7" t="s">
        <v>32</v>
      </c>
      <c r="H96" t="s">
        <v>17</v>
      </c>
      <c r="I96" t="s">
        <v>33</v>
      </c>
      <c r="J96" s="7" t="s">
        <v>295</v>
      </c>
      <c r="K96" s="7" t="s">
        <v>20</v>
      </c>
      <c r="L96" s="7" t="s">
        <v>21</v>
      </c>
    </row>
    <row r="97" spans="1:12" x14ac:dyDescent="0.2">
      <c r="A97" s="6" t="s">
        <v>296</v>
      </c>
      <c r="B97" s="7" t="s">
        <v>13</v>
      </c>
      <c r="C97" s="9">
        <v>4.6958904109589037</v>
      </c>
      <c r="D97" s="8">
        <v>168236</v>
      </c>
      <c r="E97" s="7" t="s">
        <v>54</v>
      </c>
      <c r="F97" t="s">
        <v>291</v>
      </c>
      <c r="G97" s="7" t="s">
        <v>38</v>
      </c>
      <c r="H97" t="s">
        <v>17</v>
      </c>
      <c r="I97" t="s">
        <v>44</v>
      </c>
      <c r="J97" s="7" t="s">
        <v>297</v>
      </c>
      <c r="K97" s="7" t="s">
        <v>57</v>
      </c>
      <c r="L97" s="7" t="s">
        <v>41</v>
      </c>
    </row>
    <row r="98" spans="1:12" x14ac:dyDescent="0.2">
      <c r="A98" s="6" t="s">
        <v>298</v>
      </c>
      <c r="B98" s="7" t="s">
        <v>13</v>
      </c>
      <c r="C98" s="9">
        <v>4.5999999999999996</v>
      </c>
      <c r="D98" s="8">
        <v>248456</v>
      </c>
      <c r="E98" s="7" t="s">
        <v>54</v>
      </c>
      <c r="F98" t="s">
        <v>291</v>
      </c>
      <c r="G98" s="7" t="s">
        <v>299</v>
      </c>
      <c r="H98" t="s">
        <v>17</v>
      </c>
      <c r="I98" t="s">
        <v>44</v>
      </c>
      <c r="J98" s="7" t="s">
        <v>300</v>
      </c>
      <c r="K98" s="7" t="s">
        <v>57</v>
      </c>
      <c r="L98" s="7" t="s">
        <v>41</v>
      </c>
    </row>
    <row r="99" spans="1:12" x14ac:dyDescent="0.2">
      <c r="A99" s="6" t="s">
        <v>301</v>
      </c>
      <c r="B99" s="7" t="s">
        <v>13</v>
      </c>
      <c r="C99" s="9">
        <v>4.7917808219178086</v>
      </c>
      <c r="D99" s="8">
        <v>210038.1</v>
      </c>
      <c r="E99" s="7" t="s">
        <v>54</v>
      </c>
      <c r="F99" t="s">
        <v>291</v>
      </c>
      <c r="G99" s="7" t="s">
        <v>38</v>
      </c>
      <c r="H99" t="s">
        <v>17</v>
      </c>
      <c r="I99" t="s">
        <v>44</v>
      </c>
      <c r="J99" s="7" t="s">
        <v>302</v>
      </c>
      <c r="K99" s="7" t="s">
        <v>20</v>
      </c>
      <c r="L99" s="7" t="s">
        <v>41</v>
      </c>
    </row>
    <row r="100" spans="1:12" x14ac:dyDescent="0.2">
      <c r="A100" s="6" t="s">
        <v>303</v>
      </c>
      <c r="B100" s="7" t="s">
        <v>13</v>
      </c>
      <c r="C100" s="9">
        <v>4.7726027397260271</v>
      </c>
      <c r="D100" s="8">
        <v>287482.3</v>
      </c>
      <c r="E100" s="7" t="s">
        <v>54</v>
      </c>
      <c r="F100" t="s">
        <v>281</v>
      </c>
      <c r="G100" s="7" t="s">
        <v>38</v>
      </c>
      <c r="H100" t="s">
        <v>17</v>
      </c>
      <c r="I100" t="s">
        <v>44</v>
      </c>
      <c r="J100" s="7" t="s">
        <v>304</v>
      </c>
      <c r="K100" s="7" t="s">
        <v>57</v>
      </c>
      <c r="L100" s="7" t="s">
        <v>41</v>
      </c>
    </row>
    <row r="101" spans="1:12" x14ac:dyDescent="0.2">
      <c r="A101" s="6" t="s">
        <v>305</v>
      </c>
      <c r="B101" s="7" t="s">
        <v>13</v>
      </c>
      <c r="C101" s="9">
        <v>4.7534246575342465</v>
      </c>
      <c r="D101" s="8">
        <v>369938.4</v>
      </c>
      <c r="E101" s="7" t="s">
        <v>54</v>
      </c>
      <c r="F101" t="s">
        <v>281</v>
      </c>
      <c r="G101" s="7" t="s">
        <v>38</v>
      </c>
      <c r="H101" t="s">
        <v>17</v>
      </c>
      <c r="I101" t="s">
        <v>44</v>
      </c>
      <c r="J101" s="7" t="s">
        <v>306</v>
      </c>
      <c r="K101" s="7" t="s">
        <v>57</v>
      </c>
      <c r="L101" s="7" t="s">
        <v>41</v>
      </c>
    </row>
    <row r="102" spans="1:12" x14ac:dyDescent="0.2">
      <c r="A102" s="6" t="s">
        <v>307</v>
      </c>
      <c r="B102" s="7" t="s">
        <v>13</v>
      </c>
      <c r="C102" s="9">
        <v>4.6767123287671231</v>
      </c>
      <c r="D102" s="8">
        <v>358078.1</v>
      </c>
      <c r="E102" s="7" t="s">
        <v>54</v>
      </c>
      <c r="F102" t="s">
        <v>308</v>
      </c>
      <c r="G102" s="7" t="s">
        <v>38</v>
      </c>
      <c r="H102" t="s">
        <v>17</v>
      </c>
      <c r="I102" t="s">
        <v>44</v>
      </c>
      <c r="J102" s="7" t="s">
        <v>309</v>
      </c>
      <c r="K102" s="7" t="s">
        <v>310</v>
      </c>
      <c r="L102" s="7" t="s">
        <v>41</v>
      </c>
    </row>
    <row r="103" spans="1:12" x14ac:dyDescent="0.2">
      <c r="A103" s="6" t="s">
        <v>311</v>
      </c>
      <c r="B103" s="7" t="s">
        <v>13</v>
      </c>
      <c r="C103" s="9">
        <v>4.580821917808219</v>
      </c>
      <c r="D103" s="8">
        <v>285166</v>
      </c>
      <c r="E103" s="7" t="s">
        <v>54</v>
      </c>
      <c r="F103" t="s">
        <v>291</v>
      </c>
      <c r="G103" s="7" t="s">
        <v>63</v>
      </c>
      <c r="H103" t="s">
        <v>17</v>
      </c>
      <c r="I103" t="s">
        <v>44</v>
      </c>
      <c r="J103" s="7" t="s">
        <v>312</v>
      </c>
      <c r="K103" s="7" t="s">
        <v>57</v>
      </c>
      <c r="L103" s="7" t="s">
        <v>41</v>
      </c>
    </row>
    <row r="104" spans="1:12" x14ac:dyDescent="0.2">
      <c r="A104" s="6" t="s">
        <v>313</v>
      </c>
      <c r="B104" s="7" t="s">
        <v>13</v>
      </c>
      <c r="C104" s="9">
        <v>4.6767123287671231</v>
      </c>
      <c r="D104" s="8">
        <v>123001.7</v>
      </c>
      <c r="E104" s="7" t="s">
        <v>54</v>
      </c>
      <c r="F104" t="s">
        <v>291</v>
      </c>
      <c r="G104" s="7" t="s">
        <v>38</v>
      </c>
      <c r="H104" t="s">
        <v>17</v>
      </c>
      <c r="I104" t="s">
        <v>44</v>
      </c>
      <c r="J104" s="7" t="s">
        <v>314</v>
      </c>
      <c r="K104" s="7" t="s">
        <v>310</v>
      </c>
      <c r="L104" s="7" t="s">
        <v>41</v>
      </c>
    </row>
    <row r="105" spans="1:12" x14ac:dyDescent="0.2">
      <c r="A105" s="6" t="s">
        <v>315</v>
      </c>
      <c r="B105" s="7" t="s">
        <v>13</v>
      </c>
      <c r="C105" s="9">
        <v>4.5999999999999996</v>
      </c>
      <c r="D105" s="8">
        <v>130947</v>
      </c>
      <c r="E105" s="7" t="s">
        <v>54</v>
      </c>
      <c r="F105" t="s">
        <v>291</v>
      </c>
      <c r="G105" s="7" t="s">
        <v>299</v>
      </c>
      <c r="H105" t="s">
        <v>17</v>
      </c>
      <c r="I105" t="s">
        <v>44</v>
      </c>
      <c r="J105" s="7" t="s">
        <v>316</v>
      </c>
      <c r="K105" s="7" t="s">
        <v>57</v>
      </c>
      <c r="L105" s="7" t="s">
        <v>41</v>
      </c>
    </row>
    <row r="106" spans="1:12" x14ac:dyDescent="0.2">
      <c r="A106" s="6" t="s">
        <v>317</v>
      </c>
      <c r="B106" s="7" t="s">
        <v>13</v>
      </c>
      <c r="C106" s="9">
        <v>4.6767123287671231</v>
      </c>
      <c r="D106" s="8">
        <v>257957.8</v>
      </c>
      <c r="E106" s="7" t="s">
        <v>54</v>
      </c>
      <c r="F106" t="s">
        <v>318</v>
      </c>
      <c r="G106" s="7" t="s">
        <v>38</v>
      </c>
      <c r="H106" t="s">
        <v>17</v>
      </c>
      <c r="I106" t="s">
        <v>44</v>
      </c>
      <c r="J106" s="7" t="s">
        <v>319</v>
      </c>
      <c r="K106" s="7" t="s">
        <v>57</v>
      </c>
      <c r="L106" s="7" t="s">
        <v>41</v>
      </c>
    </row>
    <row r="107" spans="1:12" x14ac:dyDescent="0.2">
      <c r="A107" s="6" t="s">
        <v>320</v>
      </c>
      <c r="B107" s="7" t="s">
        <v>13</v>
      </c>
      <c r="C107" s="9">
        <v>4.6767123287671231</v>
      </c>
      <c r="D107" s="8">
        <v>321094.09999999998</v>
      </c>
      <c r="E107" s="7" t="s">
        <v>54</v>
      </c>
      <c r="F107" t="s">
        <v>308</v>
      </c>
      <c r="G107" s="7" t="s">
        <v>38</v>
      </c>
      <c r="H107" t="s">
        <v>17</v>
      </c>
      <c r="I107" t="s">
        <v>44</v>
      </c>
      <c r="J107" s="7" t="s">
        <v>321</v>
      </c>
      <c r="K107" s="7" t="s">
        <v>310</v>
      </c>
      <c r="L107" s="7" t="s">
        <v>41</v>
      </c>
    </row>
    <row r="108" spans="1:12" x14ac:dyDescent="0.2">
      <c r="A108" s="6" t="s">
        <v>322</v>
      </c>
      <c r="B108" s="7" t="s">
        <v>13</v>
      </c>
      <c r="C108" s="9">
        <v>4.7150684931506852</v>
      </c>
      <c r="D108" s="8">
        <v>178640.1</v>
      </c>
      <c r="E108" s="7" t="s">
        <v>54</v>
      </c>
      <c r="F108" t="s">
        <v>291</v>
      </c>
      <c r="G108" s="7" t="s">
        <v>38</v>
      </c>
      <c r="H108" t="s">
        <v>17</v>
      </c>
      <c r="I108" t="s">
        <v>44</v>
      </c>
      <c r="J108" s="7" t="s">
        <v>323</v>
      </c>
      <c r="K108" s="7" t="s">
        <v>57</v>
      </c>
      <c r="L108" s="7" t="s">
        <v>41</v>
      </c>
    </row>
    <row r="109" spans="1:12" x14ac:dyDescent="0.2">
      <c r="A109" s="6" t="s">
        <v>324</v>
      </c>
      <c r="B109" s="7" t="s">
        <v>13</v>
      </c>
      <c r="C109" s="9">
        <v>4.7150684931506852</v>
      </c>
      <c r="D109" s="8">
        <v>283317.40000000002</v>
      </c>
      <c r="E109" s="7" t="s">
        <v>54</v>
      </c>
      <c r="F109" t="s">
        <v>281</v>
      </c>
      <c r="G109" s="7" t="s">
        <v>38</v>
      </c>
      <c r="H109" t="s">
        <v>17</v>
      </c>
      <c r="I109" t="s">
        <v>44</v>
      </c>
      <c r="J109" s="7" t="s">
        <v>325</v>
      </c>
      <c r="K109" s="7" t="s">
        <v>57</v>
      </c>
      <c r="L109" s="7" t="s">
        <v>41</v>
      </c>
    </row>
    <row r="110" spans="1:12" x14ac:dyDescent="0.2">
      <c r="A110" s="6" t="s">
        <v>326</v>
      </c>
      <c r="B110" s="7" t="s">
        <v>13</v>
      </c>
      <c r="C110" s="9">
        <v>4.7342465753424658</v>
      </c>
      <c r="D110" s="8">
        <v>181998.6</v>
      </c>
      <c r="E110" s="7" t="s">
        <v>54</v>
      </c>
      <c r="F110" t="s">
        <v>281</v>
      </c>
      <c r="G110" s="7" t="s">
        <v>38</v>
      </c>
      <c r="H110" t="s">
        <v>17</v>
      </c>
      <c r="I110" t="s">
        <v>44</v>
      </c>
      <c r="J110" s="7" t="s">
        <v>327</v>
      </c>
      <c r="K110" s="7" t="s">
        <v>57</v>
      </c>
      <c r="L110" s="7" t="s">
        <v>41</v>
      </c>
    </row>
    <row r="111" spans="1:12" x14ac:dyDescent="0.2">
      <c r="A111" s="6" t="s">
        <v>328</v>
      </c>
      <c r="B111" s="7" t="s">
        <v>13</v>
      </c>
      <c r="C111" s="9">
        <v>4.7534246575342465</v>
      </c>
      <c r="D111" s="8">
        <v>317115.8</v>
      </c>
      <c r="E111" s="7" t="s">
        <v>54</v>
      </c>
      <c r="F111" t="s">
        <v>291</v>
      </c>
      <c r="G111" s="7" t="s">
        <v>38</v>
      </c>
      <c r="H111" t="s">
        <v>17</v>
      </c>
      <c r="I111" t="s">
        <v>44</v>
      </c>
      <c r="J111" s="7" t="s">
        <v>329</v>
      </c>
      <c r="K111" s="7" t="s">
        <v>57</v>
      </c>
      <c r="L111" s="7" t="s">
        <v>41</v>
      </c>
    </row>
    <row r="112" spans="1:12" x14ac:dyDescent="0.2">
      <c r="A112" s="6" t="s">
        <v>330</v>
      </c>
      <c r="B112" s="7" t="s">
        <v>13</v>
      </c>
      <c r="C112" s="9">
        <v>4.6575342465753424</v>
      </c>
      <c r="D112" s="8">
        <v>201792.2</v>
      </c>
      <c r="E112" s="7" t="s">
        <v>54</v>
      </c>
      <c r="F112" t="s">
        <v>291</v>
      </c>
      <c r="G112" s="7" t="s">
        <v>38</v>
      </c>
      <c r="H112" t="s">
        <v>17</v>
      </c>
      <c r="I112" t="s">
        <v>44</v>
      </c>
      <c r="J112" s="7" t="s">
        <v>331</v>
      </c>
      <c r="K112" s="7" t="s">
        <v>57</v>
      </c>
      <c r="L112" s="7" t="s">
        <v>41</v>
      </c>
    </row>
    <row r="113" spans="1:12" x14ac:dyDescent="0.2">
      <c r="A113" s="6" t="s">
        <v>332</v>
      </c>
      <c r="B113" s="7" t="s">
        <v>13</v>
      </c>
      <c r="C113" s="9">
        <v>4.7342465753424658</v>
      </c>
      <c r="D113" s="8">
        <v>258502.2</v>
      </c>
      <c r="E113" s="7" t="s">
        <v>14</v>
      </c>
      <c r="F113" t="s">
        <v>333</v>
      </c>
      <c r="G113" s="7" t="s">
        <v>38</v>
      </c>
      <c r="H113" t="s">
        <v>17</v>
      </c>
      <c r="I113" t="s">
        <v>44</v>
      </c>
      <c r="J113" s="7" t="s">
        <v>334</v>
      </c>
      <c r="K113" s="7" t="s">
        <v>57</v>
      </c>
      <c r="L113" s="7" t="s">
        <v>41</v>
      </c>
    </row>
    <row r="114" spans="1:12" x14ac:dyDescent="0.2">
      <c r="A114" s="6" t="s">
        <v>335</v>
      </c>
      <c r="B114" s="7" t="s">
        <v>13</v>
      </c>
      <c r="C114" s="9">
        <v>4.6575342465753424</v>
      </c>
      <c r="D114" s="8">
        <v>243716.2</v>
      </c>
      <c r="E114" s="7" t="s">
        <v>54</v>
      </c>
      <c r="F114" t="s">
        <v>159</v>
      </c>
      <c r="G114" s="7" t="s">
        <v>38</v>
      </c>
      <c r="H114" t="s">
        <v>17</v>
      </c>
      <c r="I114" t="s">
        <v>44</v>
      </c>
      <c r="J114" s="7" t="s">
        <v>336</v>
      </c>
      <c r="K114" s="7" t="s">
        <v>310</v>
      </c>
      <c r="L114" s="7" t="s">
        <v>41</v>
      </c>
    </row>
    <row r="115" spans="1:12" x14ac:dyDescent="0.2">
      <c r="A115" s="6" t="s">
        <v>337</v>
      </c>
      <c r="B115" s="7" t="s">
        <v>13</v>
      </c>
      <c r="C115" s="9">
        <v>4.7561643835616438</v>
      </c>
      <c r="D115" s="8">
        <v>76310.100000000006</v>
      </c>
      <c r="E115" s="7" t="s">
        <v>23</v>
      </c>
      <c r="F115" t="s">
        <v>24</v>
      </c>
      <c r="G115" s="7" t="s">
        <v>38</v>
      </c>
      <c r="H115" t="s">
        <v>17</v>
      </c>
      <c r="I115" t="s">
        <v>39</v>
      </c>
      <c r="J115" s="7" t="s">
        <v>115</v>
      </c>
      <c r="K115" s="7" t="s">
        <v>20</v>
      </c>
      <c r="L115" s="7" t="s">
        <v>41</v>
      </c>
    </row>
    <row r="116" spans="1:12" x14ac:dyDescent="0.2">
      <c r="A116" s="6" t="s">
        <v>338</v>
      </c>
      <c r="B116" s="7" t="s">
        <v>13</v>
      </c>
      <c r="C116" s="9">
        <v>4.117808219178082</v>
      </c>
      <c r="D116" s="8">
        <v>127290.6</v>
      </c>
      <c r="E116" s="7" t="s">
        <v>147</v>
      </c>
      <c r="F116" t="s">
        <v>148</v>
      </c>
      <c r="G116" s="7" t="s">
        <v>38</v>
      </c>
      <c r="H116" t="s">
        <v>17</v>
      </c>
      <c r="I116" t="s">
        <v>44</v>
      </c>
      <c r="J116" s="7" t="s">
        <v>115</v>
      </c>
      <c r="K116" s="7" t="s">
        <v>57</v>
      </c>
      <c r="L116" s="7" t="s">
        <v>41</v>
      </c>
    </row>
    <row r="117" spans="1:12" x14ac:dyDescent="0.2">
      <c r="A117" s="6" t="s">
        <v>339</v>
      </c>
      <c r="B117" s="7" t="s">
        <v>13</v>
      </c>
      <c r="C117" s="9">
        <v>3.7369863013698632</v>
      </c>
      <c r="D117" s="8">
        <v>156887.5</v>
      </c>
      <c r="E117" s="7" t="s">
        <v>14</v>
      </c>
      <c r="F117" t="s">
        <v>340</v>
      </c>
      <c r="G117" s="7" t="s">
        <v>43</v>
      </c>
      <c r="H117" t="s">
        <v>17</v>
      </c>
      <c r="I117" t="s">
        <v>44</v>
      </c>
      <c r="J117" s="7" t="s">
        <v>341</v>
      </c>
      <c r="K117" s="7" t="s">
        <v>57</v>
      </c>
      <c r="L117" s="7" t="s">
        <v>41</v>
      </c>
    </row>
    <row r="118" spans="1:12" x14ac:dyDescent="0.2">
      <c r="A118" s="6" t="s">
        <v>342</v>
      </c>
      <c r="B118" s="7" t="s">
        <v>13</v>
      </c>
      <c r="C118" s="9">
        <v>3.6575342465753424</v>
      </c>
      <c r="D118" s="8">
        <v>287345.2</v>
      </c>
      <c r="E118" s="7" t="s">
        <v>54</v>
      </c>
      <c r="F118" t="s">
        <v>274</v>
      </c>
      <c r="G118" s="7" t="s">
        <v>38</v>
      </c>
      <c r="H118" t="s">
        <v>17</v>
      </c>
      <c r="I118" t="s">
        <v>44</v>
      </c>
      <c r="J118" s="7" t="s">
        <v>343</v>
      </c>
      <c r="K118" s="7" t="s">
        <v>57</v>
      </c>
      <c r="L118" s="7" t="s">
        <v>41</v>
      </c>
    </row>
    <row r="119" spans="1:12" x14ac:dyDescent="0.2">
      <c r="A119" s="6" t="s">
        <v>344</v>
      </c>
      <c r="B119" s="7" t="s">
        <v>13</v>
      </c>
      <c r="C119" s="9">
        <v>3.9479452054794519</v>
      </c>
      <c r="D119" s="8">
        <v>239739.2</v>
      </c>
      <c r="E119" s="7" t="s">
        <v>54</v>
      </c>
      <c r="F119" t="s">
        <v>318</v>
      </c>
      <c r="G119" s="7" t="s">
        <v>38</v>
      </c>
      <c r="H119" t="s">
        <v>17</v>
      </c>
      <c r="I119" t="s">
        <v>44</v>
      </c>
      <c r="J119" s="7" t="s">
        <v>345</v>
      </c>
      <c r="K119" s="7" t="s">
        <v>57</v>
      </c>
      <c r="L119" s="7" t="s">
        <v>41</v>
      </c>
    </row>
    <row r="120" spans="1:12" x14ac:dyDescent="0.2">
      <c r="A120" s="6" t="s">
        <v>346</v>
      </c>
      <c r="B120" s="7" t="s">
        <v>13</v>
      </c>
      <c r="C120" s="9">
        <v>3.6794520547945204</v>
      </c>
      <c r="D120" s="8">
        <v>152796.29999999999</v>
      </c>
      <c r="E120" s="7" t="s">
        <v>14</v>
      </c>
      <c r="F120" t="s">
        <v>333</v>
      </c>
      <c r="G120" s="7" t="s">
        <v>63</v>
      </c>
      <c r="H120" t="s">
        <v>17</v>
      </c>
      <c r="I120" t="s">
        <v>44</v>
      </c>
      <c r="J120" s="7" t="s">
        <v>347</v>
      </c>
      <c r="K120" s="7" t="s">
        <v>57</v>
      </c>
      <c r="L120" s="7" t="s">
        <v>41</v>
      </c>
    </row>
    <row r="121" spans="1:12" x14ac:dyDescent="0.2">
      <c r="A121" s="6" t="s">
        <v>348</v>
      </c>
      <c r="B121" s="7" t="s">
        <v>13</v>
      </c>
      <c r="C121" s="9">
        <v>3.5835616438356164</v>
      </c>
      <c r="D121" s="8">
        <v>54697.9</v>
      </c>
      <c r="E121" s="7" t="s">
        <v>14</v>
      </c>
      <c r="F121" t="s">
        <v>349</v>
      </c>
      <c r="G121" s="7" t="s">
        <v>43</v>
      </c>
      <c r="H121" t="s">
        <v>17</v>
      </c>
      <c r="I121" t="s">
        <v>44</v>
      </c>
      <c r="J121" s="7" t="s">
        <v>350</v>
      </c>
      <c r="K121" s="7" t="s">
        <v>57</v>
      </c>
      <c r="L121" s="7" t="s">
        <v>41</v>
      </c>
    </row>
    <row r="122" spans="1:12" x14ac:dyDescent="0.2">
      <c r="A122" s="6" t="s">
        <v>351</v>
      </c>
      <c r="B122" s="7" t="s">
        <v>13</v>
      </c>
      <c r="C122" s="9">
        <v>3.7178082191780821</v>
      </c>
      <c r="D122" s="8">
        <v>295760</v>
      </c>
      <c r="E122" s="7" t="s">
        <v>54</v>
      </c>
      <c r="F122" t="s">
        <v>308</v>
      </c>
      <c r="G122" s="7" t="s">
        <v>38</v>
      </c>
      <c r="H122" t="s">
        <v>17</v>
      </c>
      <c r="I122" t="s">
        <v>44</v>
      </c>
      <c r="J122" s="7" t="s">
        <v>352</v>
      </c>
      <c r="K122" s="7" t="s">
        <v>310</v>
      </c>
      <c r="L122" s="7" t="s">
        <v>41</v>
      </c>
    </row>
    <row r="123" spans="1:12" x14ac:dyDescent="0.2">
      <c r="A123" s="6" t="s">
        <v>353</v>
      </c>
      <c r="B123" s="7" t="s">
        <v>13</v>
      </c>
      <c r="C123" s="9">
        <v>3.5095890410958903</v>
      </c>
      <c r="D123" s="8">
        <v>287500.90000000002</v>
      </c>
      <c r="E123" s="7" t="s">
        <v>54</v>
      </c>
      <c r="F123" t="s">
        <v>308</v>
      </c>
      <c r="G123" s="7" t="s">
        <v>38</v>
      </c>
      <c r="H123" t="s">
        <v>17</v>
      </c>
      <c r="I123" t="s">
        <v>44</v>
      </c>
      <c r="J123" s="7" t="s">
        <v>354</v>
      </c>
      <c r="K123" s="7" t="s">
        <v>310</v>
      </c>
      <c r="L123" s="7" t="s">
        <v>41</v>
      </c>
    </row>
    <row r="124" spans="1:12" x14ac:dyDescent="0.2">
      <c r="A124" s="6" t="s">
        <v>355</v>
      </c>
      <c r="B124" s="7" t="s">
        <v>13</v>
      </c>
      <c r="C124" s="9">
        <v>3.5835616438356164</v>
      </c>
      <c r="D124" s="8">
        <v>210733.8</v>
      </c>
      <c r="E124" s="7" t="s">
        <v>54</v>
      </c>
      <c r="F124" t="s">
        <v>259</v>
      </c>
      <c r="G124" s="7" t="s">
        <v>38</v>
      </c>
      <c r="H124" t="s">
        <v>17</v>
      </c>
      <c r="I124" t="s">
        <v>44</v>
      </c>
      <c r="J124" s="7" t="s">
        <v>356</v>
      </c>
      <c r="K124" s="7" t="s">
        <v>57</v>
      </c>
      <c r="L124" s="7" t="s">
        <v>41</v>
      </c>
    </row>
    <row r="125" spans="1:12" x14ac:dyDescent="0.2">
      <c r="A125" s="6" t="s">
        <v>357</v>
      </c>
      <c r="B125" s="7" t="s">
        <v>358</v>
      </c>
      <c r="C125" s="9">
        <v>3.6657534246575341</v>
      </c>
      <c r="D125" s="8">
        <v>77486.100000000006</v>
      </c>
      <c r="E125" s="7" t="s">
        <v>359</v>
      </c>
      <c r="F125" t="s">
        <v>211</v>
      </c>
      <c r="G125" s="7" t="s">
        <v>360</v>
      </c>
      <c r="H125" t="s">
        <v>361</v>
      </c>
      <c r="I125" t="s">
        <v>362</v>
      </c>
      <c r="J125" s="7" t="s">
        <v>363</v>
      </c>
      <c r="K125" s="7" t="s">
        <v>20</v>
      </c>
      <c r="L125" s="7" t="s">
        <v>358</v>
      </c>
    </row>
    <row r="126" spans="1:12" x14ac:dyDescent="0.2">
      <c r="A126" s="6" t="s">
        <v>364</v>
      </c>
      <c r="B126" s="7" t="s">
        <v>13</v>
      </c>
      <c r="C126" s="9">
        <v>3.3123287671232875</v>
      </c>
      <c r="D126" s="8">
        <v>116752.9</v>
      </c>
      <c r="E126" s="7" t="s">
        <v>14</v>
      </c>
      <c r="F126" t="s">
        <v>333</v>
      </c>
      <c r="G126" s="7" t="s">
        <v>365</v>
      </c>
      <c r="H126" t="s">
        <v>17</v>
      </c>
      <c r="I126" t="s">
        <v>44</v>
      </c>
      <c r="J126" s="7" t="s">
        <v>366</v>
      </c>
      <c r="K126" s="7" t="s">
        <v>57</v>
      </c>
      <c r="L126" s="7" t="s">
        <v>41</v>
      </c>
    </row>
    <row r="127" spans="1:12" x14ac:dyDescent="0.2">
      <c r="A127" s="6" t="s">
        <v>367</v>
      </c>
      <c r="B127" s="7" t="s">
        <v>13</v>
      </c>
      <c r="C127" s="9">
        <v>3.3123287671232875</v>
      </c>
      <c r="D127" s="8">
        <v>78384.600000000006</v>
      </c>
      <c r="E127" s="7" t="s">
        <v>54</v>
      </c>
      <c r="F127" t="s">
        <v>159</v>
      </c>
      <c r="G127" s="7" t="s">
        <v>38</v>
      </c>
      <c r="H127" t="s">
        <v>17</v>
      </c>
      <c r="I127" t="s">
        <v>44</v>
      </c>
      <c r="J127" s="7" t="s">
        <v>368</v>
      </c>
      <c r="K127" s="7" t="s">
        <v>57</v>
      </c>
      <c r="L127" s="7" t="s">
        <v>41</v>
      </c>
    </row>
    <row r="128" spans="1:12" x14ac:dyDescent="0.2">
      <c r="A128" s="6" t="s">
        <v>369</v>
      </c>
      <c r="B128" s="7" t="s">
        <v>13</v>
      </c>
      <c r="C128" s="9">
        <v>3.2794520547945205</v>
      </c>
      <c r="D128" s="8">
        <v>78671.7</v>
      </c>
      <c r="E128" s="7" t="s">
        <v>14</v>
      </c>
      <c r="F128" t="s">
        <v>340</v>
      </c>
      <c r="G128" s="7" t="s">
        <v>365</v>
      </c>
      <c r="H128" t="s">
        <v>17</v>
      </c>
      <c r="I128" t="s">
        <v>44</v>
      </c>
      <c r="J128" s="7" t="s">
        <v>370</v>
      </c>
      <c r="K128" s="7" t="s">
        <v>57</v>
      </c>
      <c r="L128" s="7" t="s">
        <v>41</v>
      </c>
    </row>
    <row r="129" spans="1:12" x14ac:dyDescent="0.2">
      <c r="A129" s="6" t="s">
        <v>371</v>
      </c>
      <c r="B129" s="7" t="s">
        <v>13</v>
      </c>
      <c r="C129" s="9">
        <v>3.3780821917808219</v>
      </c>
      <c r="D129" s="8">
        <v>189988.3</v>
      </c>
      <c r="E129" s="7" t="s">
        <v>54</v>
      </c>
      <c r="F129" t="s">
        <v>281</v>
      </c>
      <c r="G129" s="7" t="s">
        <v>38</v>
      </c>
      <c r="H129" t="s">
        <v>17</v>
      </c>
      <c r="I129" t="s">
        <v>44</v>
      </c>
      <c r="J129" s="7" t="s">
        <v>372</v>
      </c>
      <c r="K129" s="7" t="s">
        <v>373</v>
      </c>
      <c r="L129" s="7" t="s">
        <v>41</v>
      </c>
    </row>
    <row r="130" spans="1:12" x14ac:dyDescent="0.2">
      <c r="A130" s="6" t="s">
        <v>374</v>
      </c>
      <c r="B130" s="7" t="s">
        <v>13</v>
      </c>
      <c r="C130" s="9">
        <v>3.3780821917808219</v>
      </c>
      <c r="D130" s="8">
        <v>66430.399999999994</v>
      </c>
      <c r="E130" s="7" t="s">
        <v>14</v>
      </c>
      <c r="F130" t="s">
        <v>333</v>
      </c>
      <c r="G130" s="7" t="s">
        <v>63</v>
      </c>
      <c r="H130" t="s">
        <v>17</v>
      </c>
      <c r="I130" t="s">
        <v>44</v>
      </c>
      <c r="J130" s="7" t="s">
        <v>375</v>
      </c>
      <c r="K130" s="7" t="s">
        <v>57</v>
      </c>
      <c r="L130" s="7" t="s">
        <v>41</v>
      </c>
    </row>
    <row r="131" spans="1:12" x14ac:dyDescent="0.2">
      <c r="A131" s="6" t="s">
        <v>376</v>
      </c>
      <c r="B131" s="7" t="s">
        <v>13</v>
      </c>
      <c r="C131" s="9">
        <v>3.3369863013698629</v>
      </c>
      <c r="D131" s="8">
        <v>70634</v>
      </c>
      <c r="E131" s="7" t="s">
        <v>54</v>
      </c>
      <c r="F131" t="s">
        <v>274</v>
      </c>
      <c r="G131" s="7" t="s">
        <v>32</v>
      </c>
      <c r="H131" t="s">
        <v>17</v>
      </c>
      <c r="I131" t="s">
        <v>33</v>
      </c>
      <c r="J131" s="7" t="s">
        <v>377</v>
      </c>
      <c r="K131" s="7" t="s">
        <v>20</v>
      </c>
      <c r="L131" s="7" t="s">
        <v>41</v>
      </c>
    </row>
    <row r="132" spans="1:12" x14ac:dyDescent="0.2">
      <c r="A132" s="6" t="s">
        <v>378</v>
      </c>
      <c r="B132" s="7" t="s">
        <v>13</v>
      </c>
      <c r="C132" s="9">
        <v>3.3369863013698629</v>
      </c>
      <c r="D132" s="8">
        <v>70311.3</v>
      </c>
      <c r="E132" s="7" t="s">
        <v>54</v>
      </c>
      <c r="F132" t="s">
        <v>15</v>
      </c>
      <c r="G132" s="7" t="s">
        <v>32</v>
      </c>
      <c r="H132" t="s">
        <v>17</v>
      </c>
      <c r="I132" t="s">
        <v>33</v>
      </c>
      <c r="J132" s="7" t="s">
        <v>379</v>
      </c>
      <c r="K132" s="7" t="s">
        <v>20</v>
      </c>
      <c r="L132" s="7" t="s">
        <v>41</v>
      </c>
    </row>
    <row r="133" spans="1:12" x14ac:dyDescent="0.2">
      <c r="A133" s="6" t="s">
        <v>380</v>
      </c>
      <c r="B133" s="7" t="s">
        <v>13</v>
      </c>
      <c r="C133" s="9">
        <v>3.1479452054794521</v>
      </c>
      <c r="D133" s="8">
        <v>264285.40000000002</v>
      </c>
      <c r="E133" s="7" t="s">
        <v>54</v>
      </c>
      <c r="F133" t="s">
        <v>259</v>
      </c>
      <c r="G133" s="7" t="s">
        <v>38</v>
      </c>
      <c r="H133" t="s">
        <v>17</v>
      </c>
      <c r="I133" t="s">
        <v>44</v>
      </c>
      <c r="J133" s="7" t="s">
        <v>381</v>
      </c>
      <c r="K133" s="7" t="s">
        <v>310</v>
      </c>
      <c r="L133" s="7" t="s">
        <v>41</v>
      </c>
    </row>
    <row r="134" spans="1:12" x14ac:dyDescent="0.2">
      <c r="A134" s="6" t="s">
        <v>382</v>
      </c>
      <c r="B134" s="7" t="s">
        <v>13</v>
      </c>
      <c r="C134" s="9">
        <v>3.2821917808219179</v>
      </c>
      <c r="D134" s="8">
        <v>228379.6</v>
      </c>
      <c r="E134" s="7" t="s">
        <v>54</v>
      </c>
      <c r="F134" t="s">
        <v>274</v>
      </c>
      <c r="G134" s="7" t="s">
        <v>38</v>
      </c>
      <c r="H134" t="s">
        <v>17</v>
      </c>
      <c r="I134" t="s">
        <v>44</v>
      </c>
      <c r="J134" s="7" t="s">
        <v>383</v>
      </c>
      <c r="K134" s="7" t="s">
        <v>20</v>
      </c>
      <c r="L134" s="7" t="s">
        <v>41</v>
      </c>
    </row>
    <row r="135" spans="1:12" x14ac:dyDescent="0.2">
      <c r="A135" s="6" t="s">
        <v>384</v>
      </c>
      <c r="B135" s="7" t="s">
        <v>13</v>
      </c>
      <c r="C135" s="9">
        <v>3.2</v>
      </c>
      <c r="D135" s="8">
        <v>225145.60000000001</v>
      </c>
      <c r="E135" s="7" t="s">
        <v>54</v>
      </c>
      <c r="F135" t="s">
        <v>259</v>
      </c>
      <c r="G135" s="7" t="s">
        <v>38</v>
      </c>
      <c r="H135" t="s">
        <v>17</v>
      </c>
      <c r="I135" t="s">
        <v>44</v>
      </c>
      <c r="J135" s="7" t="s">
        <v>385</v>
      </c>
      <c r="K135" s="7" t="s">
        <v>57</v>
      </c>
      <c r="L135" s="7" t="s">
        <v>41</v>
      </c>
    </row>
    <row r="136" spans="1:12" x14ac:dyDescent="0.2">
      <c r="A136" s="6" t="s">
        <v>386</v>
      </c>
      <c r="B136" s="7" t="s">
        <v>13</v>
      </c>
      <c r="C136" s="9">
        <v>3.2</v>
      </c>
      <c r="D136" s="8">
        <v>238317.2</v>
      </c>
      <c r="E136" s="7" t="s">
        <v>54</v>
      </c>
      <c r="F136" t="s">
        <v>259</v>
      </c>
      <c r="G136" s="7" t="s">
        <v>38</v>
      </c>
      <c r="H136" t="s">
        <v>17</v>
      </c>
      <c r="I136" t="s">
        <v>44</v>
      </c>
      <c r="J136" s="7" t="s">
        <v>387</v>
      </c>
      <c r="K136" s="7" t="s">
        <v>57</v>
      </c>
      <c r="L136" s="7" t="s">
        <v>41</v>
      </c>
    </row>
    <row r="137" spans="1:12" x14ac:dyDescent="0.2">
      <c r="A137" s="6" t="s">
        <v>388</v>
      </c>
      <c r="B137" s="7" t="s">
        <v>13</v>
      </c>
      <c r="C137" s="9">
        <v>2.6849315068493151</v>
      </c>
      <c r="D137" s="8">
        <v>44869.8</v>
      </c>
      <c r="E137" s="7" t="s">
        <v>54</v>
      </c>
      <c r="F137" t="s">
        <v>389</v>
      </c>
      <c r="G137" s="7" t="s">
        <v>32</v>
      </c>
      <c r="H137" t="s">
        <v>17</v>
      </c>
      <c r="I137" t="s">
        <v>33</v>
      </c>
      <c r="J137" s="7" t="s">
        <v>390</v>
      </c>
      <c r="K137" s="7" t="s">
        <v>20</v>
      </c>
      <c r="L137" s="7" t="s">
        <v>41</v>
      </c>
    </row>
    <row r="138" spans="1:12" x14ac:dyDescent="0.2">
      <c r="A138" s="6" t="s">
        <v>391</v>
      </c>
      <c r="B138" s="7" t="s">
        <v>13</v>
      </c>
      <c r="C138" s="9">
        <v>2.4164383561643836</v>
      </c>
      <c r="D138" s="8">
        <v>53979.5</v>
      </c>
      <c r="E138" s="7" t="s">
        <v>54</v>
      </c>
      <c r="F138" t="s">
        <v>392</v>
      </c>
      <c r="G138" s="7" t="s">
        <v>38</v>
      </c>
      <c r="H138" t="s">
        <v>17</v>
      </c>
      <c r="I138" t="s">
        <v>44</v>
      </c>
      <c r="J138" s="7" t="s">
        <v>393</v>
      </c>
      <c r="K138" s="7" t="s">
        <v>57</v>
      </c>
      <c r="L138" s="7" t="s">
        <v>41</v>
      </c>
    </row>
    <row r="139" spans="1:12" x14ac:dyDescent="0.2">
      <c r="A139" s="6" t="s">
        <v>394</v>
      </c>
      <c r="B139" s="7" t="s">
        <v>13</v>
      </c>
      <c r="C139" s="9">
        <v>2.3945205479452056</v>
      </c>
      <c r="D139" s="8">
        <v>74944</v>
      </c>
      <c r="E139" s="7" t="s">
        <v>54</v>
      </c>
      <c r="F139" t="s">
        <v>318</v>
      </c>
      <c r="G139" s="7" t="s">
        <v>38</v>
      </c>
      <c r="H139" t="s">
        <v>17</v>
      </c>
      <c r="I139" t="s">
        <v>44</v>
      </c>
      <c r="J139" s="7" t="s">
        <v>395</v>
      </c>
      <c r="K139" s="7" t="s">
        <v>57</v>
      </c>
      <c r="L139" s="7" t="s">
        <v>41</v>
      </c>
    </row>
    <row r="140" spans="1:12" x14ac:dyDescent="0.2">
      <c r="A140" s="6" t="s">
        <v>396</v>
      </c>
      <c r="B140" s="7" t="s">
        <v>13</v>
      </c>
      <c r="C140" s="9">
        <v>2.7068493150684931</v>
      </c>
      <c r="D140" s="8">
        <v>188376.7</v>
      </c>
      <c r="E140" s="7" t="s">
        <v>54</v>
      </c>
      <c r="F140" t="s">
        <v>308</v>
      </c>
      <c r="G140" s="7" t="s">
        <v>38</v>
      </c>
      <c r="H140" t="s">
        <v>17</v>
      </c>
      <c r="I140" t="s">
        <v>44</v>
      </c>
      <c r="J140" s="7" t="s">
        <v>397</v>
      </c>
      <c r="K140" s="7" t="s">
        <v>20</v>
      </c>
      <c r="L140" s="7" t="s">
        <v>41</v>
      </c>
    </row>
    <row r="141" spans="1:12" x14ac:dyDescent="0.2">
      <c r="A141" s="6" t="s">
        <v>398</v>
      </c>
      <c r="B141" s="7" t="s">
        <v>13</v>
      </c>
      <c r="C141" s="9">
        <v>2.473972602739726</v>
      </c>
      <c r="D141" s="8">
        <v>125743.1</v>
      </c>
      <c r="E141" s="7" t="s">
        <v>54</v>
      </c>
      <c r="F141" t="s">
        <v>291</v>
      </c>
      <c r="G141" s="7" t="s">
        <v>38</v>
      </c>
      <c r="H141" t="s">
        <v>17</v>
      </c>
      <c r="I141" t="s">
        <v>44</v>
      </c>
      <c r="J141" s="7" t="s">
        <v>399</v>
      </c>
      <c r="K141" s="7" t="s">
        <v>57</v>
      </c>
      <c r="L141" s="7" t="s">
        <v>41</v>
      </c>
    </row>
    <row r="142" spans="1:12" x14ac:dyDescent="0.2">
      <c r="A142" s="6" t="s">
        <v>400</v>
      </c>
      <c r="B142" s="7" t="s">
        <v>13</v>
      </c>
      <c r="C142" s="9">
        <v>2.6876712328767125</v>
      </c>
      <c r="D142" s="8">
        <v>38420.800000000003</v>
      </c>
      <c r="E142" s="7" t="s">
        <v>14</v>
      </c>
      <c r="F142" t="s">
        <v>349</v>
      </c>
      <c r="G142" s="7" t="s">
        <v>38</v>
      </c>
      <c r="H142" t="s">
        <v>17</v>
      </c>
      <c r="I142" t="s">
        <v>44</v>
      </c>
      <c r="J142" s="7" t="s">
        <v>401</v>
      </c>
      <c r="K142" s="7" t="s">
        <v>57</v>
      </c>
      <c r="L142" s="7" t="s">
        <v>41</v>
      </c>
    </row>
    <row r="143" spans="1:12" x14ac:dyDescent="0.2">
      <c r="A143" s="6" t="s">
        <v>402</v>
      </c>
      <c r="B143" s="7" t="s">
        <v>13</v>
      </c>
      <c r="C143" s="9">
        <v>2.7068493150684931</v>
      </c>
      <c r="D143" s="8">
        <v>84879.8</v>
      </c>
      <c r="E143" s="7" t="s">
        <v>54</v>
      </c>
      <c r="F143" t="s">
        <v>389</v>
      </c>
      <c r="G143" s="7" t="s">
        <v>43</v>
      </c>
      <c r="H143" t="s">
        <v>17</v>
      </c>
      <c r="I143" t="s">
        <v>44</v>
      </c>
      <c r="J143" s="7" t="s">
        <v>403</v>
      </c>
      <c r="K143" s="7" t="s">
        <v>57</v>
      </c>
      <c r="L143" s="7" t="s">
        <v>41</v>
      </c>
    </row>
    <row r="144" spans="1:12" x14ac:dyDescent="0.2">
      <c r="A144" s="6" t="s">
        <v>404</v>
      </c>
      <c r="B144" s="7" t="s">
        <v>13</v>
      </c>
      <c r="C144" s="9">
        <v>2.7068493150684931</v>
      </c>
      <c r="D144" s="8">
        <v>100016.4</v>
      </c>
      <c r="E144" s="7" t="s">
        <v>14</v>
      </c>
      <c r="F144" t="s">
        <v>333</v>
      </c>
      <c r="G144" s="7" t="s">
        <v>63</v>
      </c>
      <c r="H144" t="s">
        <v>17</v>
      </c>
      <c r="I144" t="s">
        <v>44</v>
      </c>
      <c r="J144" s="7" t="s">
        <v>405</v>
      </c>
      <c r="K144" s="7" t="s">
        <v>57</v>
      </c>
      <c r="L144" s="7" t="s">
        <v>41</v>
      </c>
    </row>
    <row r="145" spans="1:12" x14ac:dyDescent="0.2">
      <c r="A145" s="6" t="s">
        <v>406</v>
      </c>
      <c r="B145" s="7" t="s">
        <v>13</v>
      </c>
      <c r="C145" s="9">
        <v>2.7068493150684931</v>
      </c>
      <c r="D145" s="8">
        <v>88214.2</v>
      </c>
      <c r="E145" s="7" t="s">
        <v>14</v>
      </c>
      <c r="F145" t="s">
        <v>333</v>
      </c>
      <c r="G145" s="7" t="s">
        <v>63</v>
      </c>
      <c r="H145" t="s">
        <v>17</v>
      </c>
      <c r="I145" t="s">
        <v>44</v>
      </c>
      <c r="J145" s="7" t="s">
        <v>407</v>
      </c>
      <c r="K145" s="7" t="s">
        <v>57</v>
      </c>
      <c r="L145" s="7" t="s">
        <v>41</v>
      </c>
    </row>
    <row r="146" spans="1:12" x14ac:dyDescent="0.2">
      <c r="A146" s="6" t="s">
        <v>408</v>
      </c>
      <c r="B146" s="7" t="s">
        <v>13</v>
      </c>
      <c r="C146" s="9">
        <v>2.7972602739726029</v>
      </c>
      <c r="D146" s="8">
        <v>70537.399999999994</v>
      </c>
      <c r="E146" s="7" t="s">
        <v>54</v>
      </c>
      <c r="F146" t="s">
        <v>389</v>
      </c>
      <c r="G146" s="7" t="s">
        <v>43</v>
      </c>
      <c r="H146" t="s">
        <v>17</v>
      </c>
      <c r="I146" t="s">
        <v>44</v>
      </c>
      <c r="J146" s="7" t="s">
        <v>115</v>
      </c>
      <c r="K146" s="7" t="s">
        <v>57</v>
      </c>
      <c r="L146" s="7" t="s">
        <v>41</v>
      </c>
    </row>
    <row r="147" spans="1:12" x14ac:dyDescent="0.2">
      <c r="A147" s="6" t="s">
        <v>409</v>
      </c>
      <c r="B147" s="7" t="s">
        <v>13</v>
      </c>
      <c r="C147" s="9">
        <v>2.7972602739726029</v>
      </c>
      <c r="D147" s="8">
        <v>76715.899999999994</v>
      </c>
      <c r="E147" s="7" t="s">
        <v>54</v>
      </c>
      <c r="F147" t="s">
        <v>389</v>
      </c>
      <c r="G147" s="7" t="s">
        <v>38</v>
      </c>
      <c r="H147" t="s">
        <v>17</v>
      </c>
      <c r="I147" t="s">
        <v>44</v>
      </c>
      <c r="J147" s="7" t="s">
        <v>115</v>
      </c>
      <c r="K147" s="7" t="s">
        <v>57</v>
      </c>
      <c r="L147" s="7" t="s">
        <v>41</v>
      </c>
    </row>
    <row r="148" spans="1:12" x14ac:dyDescent="0.2">
      <c r="A148" s="6" t="s">
        <v>410</v>
      </c>
      <c r="B148" s="7" t="s">
        <v>13</v>
      </c>
      <c r="C148" s="9">
        <v>2.7972602739726029</v>
      </c>
      <c r="D148" s="8">
        <v>48352.1</v>
      </c>
      <c r="E148" s="7" t="s">
        <v>23</v>
      </c>
      <c r="F148" t="s">
        <v>134</v>
      </c>
      <c r="G148" s="7" t="s">
        <v>43</v>
      </c>
      <c r="H148" t="s">
        <v>17</v>
      </c>
      <c r="I148" t="s">
        <v>44</v>
      </c>
      <c r="J148" s="7" t="s">
        <v>115</v>
      </c>
      <c r="K148" s="7" t="s">
        <v>20</v>
      </c>
      <c r="L148" s="7" t="s">
        <v>41</v>
      </c>
    </row>
    <row r="149" spans="1:12" x14ac:dyDescent="0.2">
      <c r="A149" s="6" t="s">
        <v>411</v>
      </c>
      <c r="B149" s="7" t="s">
        <v>358</v>
      </c>
      <c r="C149" s="9">
        <v>1.8438356164383563</v>
      </c>
      <c r="D149" s="8">
        <v>13424.2</v>
      </c>
      <c r="E149" s="7" t="s">
        <v>412</v>
      </c>
      <c r="F149" t="s">
        <v>211</v>
      </c>
      <c r="G149" s="7" t="s">
        <v>413</v>
      </c>
      <c r="H149" t="s">
        <v>17</v>
      </c>
      <c r="I149" t="s">
        <v>44</v>
      </c>
      <c r="J149" s="7" t="s">
        <v>414</v>
      </c>
      <c r="K149" s="7" t="s">
        <v>20</v>
      </c>
      <c r="L149" s="7" t="s">
        <v>358</v>
      </c>
    </row>
    <row r="150" spans="1:12" x14ac:dyDescent="0.2">
      <c r="A150" s="6" t="s">
        <v>415</v>
      </c>
      <c r="B150" s="7" t="s">
        <v>416</v>
      </c>
      <c r="C150" s="9">
        <v>2.4575342465753423</v>
      </c>
      <c r="D150" s="8">
        <v>90284.6</v>
      </c>
      <c r="E150" s="7" t="s">
        <v>54</v>
      </c>
      <c r="F150" t="s">
        <v>392</v>
      </c>
      <c r="G150" s="7" t="s">
        <v>63</v>
      </c>
      <c r="H150" t="s">
        <v>17</v>
      </c>
      <c r="I150" t="s">
        <v>44</v>
      </c>
      <c r="J150" s="7" t="s">
        <v>417</v>
      </c>
      <c r="K150" s="7" t="s">
        <v>57</v>
      </c>
      <c r="L150" s="7" t="s">
        <v>41</v>
      </c>
    </row>
    <row r="151" spans="1:12" x14ac:dyDescent="0.2">
      <c r="A151" s="6" t="s">
        <v>418</v>
      </c>
      <c r="B151" s="7" t="s">
        <v>416</v>
      </c>
      <c r="C151" s="9">
        <v>2.4575342465753423</v>
      </c>
      <c r="D151" s="8">
        <v>89769.8</v>
      </c>
      <c r="E151" s="7" t="s">
        <v>54</v>
      </c>
      <c r="F151" t="s">
        <v>392</v>
      </c>
      <c r="G151" s="7" t="s">
        <v>63</v>
      </c>
      <c r="H151" t="s">
        <v>17</v>
      </c>
      <c r="I151" t="s">
        <v>44</v>
      </c>
      <c r="J151" s="7" t="s">
        <v>419</v>
      </c>
      <c r="K151" s="7" t="s">
        <v>57</v>
      </c>
      <c r="L151" s="7" t="s">
        <v>41</v>
      </c>
    </row>
    <row r="152" spans="1:12" x14ac:dyDescent="0.2">
      <c r="A152" s="6" t="s">
        <v>420</v>
      </c>
      <c r="B152" s="7" t="s">
        <v>13</v>
      </c>
      <c r="C152" s="9">
        <v>1.9945205479452055</v>
      </c>
      <c r="D152" s="8">
        <v>122225.7</v>
      </c>
      <c r="E152" s="7" t="s">
        <v>54</v>
      </c>
      <c r="F152" t="s">
        <v>259</v>
      </c>
      <c r="G152" s="7" t="s">
        <v>38</v>
      </c>
      <c r="H152" t="s">
        <v>17</v>
      </c>
      <c r="I152" t="s">
        <v>44</v>
      </c>
      <c r="J152" s="7" t="s">
        <v>421</v>
      </c>
      <c r="K152" s="7" t="s">
        <v>310</v>
      </c>
      <c r="L152" s="7" t="s">
        <v>41</v>
      </c>
    </row>
    <row r="153" spans="1:12" x14ac:dyDescent="0.2">
      <c r="A153" s="6" t="s">
        <v>422</v>
      </c>
      <c r="B153" s="7" t="s">
        <v>13</v>
      </c>
      <c r="C153" s="9">
        <v>1.9397260273972603</v>
      </c>
      <c r="D153" s="8">
        <v>35163.300000000003</v>
      </c>
      <c r="E153" s="7" t="s">
        <v>14</v>
      </c>
      <c r="F153" t="s">
        <v>340</v>
      </c>
      <c r="G153" s="7" t="s">
        <v>176</v>
      </c>
      <c r="H153" t="s">
        <v>17</v>
      </c>
      <c r="I153" t="s">
        <v>39</v>
      </c>
      <c r="J153" s="7" t="s">
        <v>423</v>
      </c>
      <c r="K153" s="7" t="s">
        <v>20</v>
      </c>
      <c r="L153" s="7" t="s">
        <v>41</v>
      </c>
    </row>
    <row r="154" spans="1:12" x14ac:dyDescent="0.2">
      <c r="A154" s="6" t="s">
        <v>424</v>
      </c>
      <c r="B154" s="7" t="s">
        <v>13</v>
      </c>
      <c r="C154" s="9">
        <v>2.0520547945205481</v>
      </c>
      <c r="D154" s="8">
        <v>54720.2</v>
      </c>
      <c r="E154" s="7" t="s">
        <v>54</v>
      </c>
      <c r="F154" t="s">
        <v>425</v>
      </c>
      <c r="G154" s="7" t="s">
        <v>38</v>
      </c>
      <c r="H154" t="s">
        <v>17</v>
      </c>
      <c r="I154" t="s">
        <v>44</v>
      </c>
      <c r="J154" s="7" t="s">
        <v>426</v>
      </c>
      <c r="K154" s="7" t="s">
        <v>57</v>
      </c>
      <c r="L154" s="7" t="s">
        <v>41</v>
      </c>
    </row>
    <row r="155" spans="1:12" x14ac:dyDescent="0.2">
      <c r="A155" s="6" t="s">
        <v>427</v>
      </c>
      <c r="B155" s="7" t="s">
        <v>13</v>
      </c>
      <c r="C155" s="9">
        <v>2.0904109589041098</v>
      </c>
      <c r="D155" s="8">
        <v>82333.8</v>
      </c>
      <c r="E155" s="7" t="s">
        <v>54</v>
      </c>
      <c r="F155" t="s">
        <v>428</v>
      </c>
      <c r="G155" s="7" t="s">
        <v>38</v>
      </c>
      <c r="H155" t="s">
        <v>17</v>
      </c>
      <c r="I155" t="s">
        <v>44</v>
      </c>
      <c r="J155" s="7" t="s">
        <v>429</v>
      </c>
      <c r="K155" s="7" t="s">
        <v>57</v>
      </c>
      <c r="L155" s="7" t="s">
        <v>41</v>
      </c>
    </row>
    <row r="156" spans="1:12" x14ac:dyDescent="0.2">
      <c r="A156" s="6" t="s">
        <v>430</v>
      </c>
      <c r="B156" s="7" t="s">
        <v>13</v>
      </c>
      <c r="C156" s="9">
        <v>2.0712328767123287</v>
      </c>
      <c r="D156" s="8">
        <v>57173.3</v>
      </c>
      <c r="E156" s="7" t="s">
        <v>54</v>
      </c>
      <c r="F156" t="s">
        <v>431</v>
      </c>
      <c r="G156" s="7" t="s">
        <v>38</v>
      </c>
      <c r="H156" t="s">
        <v>17</v>
      </c>
      <c r="I156" t="s">
        <v>44</v>
      </c>
      <c r="J156" s="7" t="s">
        <v>432</v>
      </c>
      <c r="K156" s="7" t="s">
        <v>57</v>
      </c>
      <c r="L156" s="7" t="s">
        <v>41</v>
      </c>
    </row>
    <row r="157" spans="1:12" x14ac:dyDescent="0.2">
      <c r="A157" s="6" t="s">
        <v>433</v>
      </c>
      <c r="B157" s="7" t="s">
        <v>13</v>
      </c>
      <c r="C157" s="9">
        <v>1.9369863013698629</v>
      </c>
      <c r="D157" s="8">
        <v>81217.600000000006</v>
      </c>
      <c r="E157" s="7" t="s">
        <v>54</v>
      </c>
      <c r="F157" t="s">
        <v>434</v>
      </c>
      <c r="G157" s="7" t="s">
        <v>38</v>
      </c>
      <c r="H157" t="s">
        <v>17</v>
      </c>
      <c r="I157" t="s">
        <v>44</v>
      </c>
      <c r="J157" s="7" t="s">
        <v>435</v>
      </c>
      <c r="K157" s="7" t="s">
        <v>57</v>
      </c>
      <c r="L157" s="7" t="s">
        <v>41</v>
      </c>
    </row>
    <row r="158" spans="1:12" x14ac:dyDescent="0.2">
      <c r="A158" s="6" t="s">
        <v>436</v>
      </c>
      <c r="B158" s="7" t="s">
        <v>13</v>
      </c>
      <c r="C158" s="9">
        <v>2.0904109589041098</v>
      </c>
      <c r="D158" s="8">
        <v>57520.7</v>
      </c>
      <c r="E158" s="7" t="s">
        <v>54</v>
      </c>
      <c r="F158" t="s">
        <v>159</v>
      </c>
      <c r="G158" s="7" t="s">
        <v>38</v>
      </c>
      <c r="H158" t="s">
        <v>17</v>
      </c>
      <c r="I158" t="s">
        <v>44</v>
      </c>
      <c r="J158" s="7" t="s">
        <v>437</v>
      </c>
      <c r="K158" s="7" t="s">
        <v>57</v>
      </c>
      <c r="L158" s="7" t="s">
        <v>41</v>
      </c>
    </row>
    <row r="159" spans="1:12" x14ac:dyDescent="0.2">
      <c r="A159" s="6" t="s">
        <v>438</v>
      </c>
      <c r="B159" s="7" t="s">
        <v>13</v>
      </c>
      <c r="C159" s="9">
        <v>1.7287671232876711</v>
      </c>
      <c r="D159" s="8">
        <v>43341.3</v>
      </c>
      <c r="E159" s="7" t="s">
        <v>14</v>
      </c>
      <c r="F159" t="s">
        <v>340</v>
      </c>
      <c r="G159" s="7" t="s">
        <v>38</v>
      </c>
      <c r="H159" t="s">
        <v>17</v>
      </c>
      <c r="I159" t="s">
        <v>39</v>
      </c>
      <c r="J159" s="7" t="s">
        <v>439</v>
      </c>
      <c r="K159" s="7" t="s">
        <v>20</v>
      </c>
      <c r="L159" s="7" t="s">
        <v>41</v>
      </c>
    </row>
    <row r="160" spans="1:12" x14ac:dyDescent="0.2">
      <c r="A160" s="6" t="s">
        <v>440</v>
      </c>
      <c r="B160" s="7" t="s">
        <v>13</v>
      </c>
      <c r="C160" s="9">
        <v>2.0904109589041098</v>
      </c>
      <c r="D160" s="8">
        <v>61814</v>
      </c>
      <c r="E160" s="7" t="s">
        <v>14</v>
      </c>
      <c r="F160" t="s">
        <v>333</v>
      </c>
      <c r="G160" s="7" t="s">
        <v>38</v>
      </c>
      <c r="H160" t="s">
        <v>17</v>
      </c>
      <c r="I160" t="s">
        <v>44</v>
      </c>
      <c r="J160" s="7" t="s">
        <v>441</v>
      </c>
      <c r="K160" s="7" t="s">
        <v>57</v>
      </c>
      <c r="L160" s="7" t="s">
        <v>41</v>
      </c>
    </row>
    <row r="161" spans="1:12" x14ac:dyDescent="0.2">
      <c r="A161" s="6" t="s">
        <v>442</v>
      </c>
      <c r="B161" s="7" t="s">
        <v>13</v>
      </c>
      <c r="C161" s="9">
        <v>1.8410958904109589</v>
      </c>
      <c r="D161" s="8">
        <v>51375.6</v>
      </c>
      <c r="E161" s="7" t="s">
        <v>14</v>
      </c>
      <c r="F161" t="s">
        <v>333</v>
      </c>
      <c r="G161" s="7" t="s">
        <v>43</v>
      </c>
      <c r="H161" t="s">
        <v>17</v>
      </c>
      <c r="I161" t="s">
        <v>44</v>
      </c>
      <c r="J161" s="7" t="s">
        <v>443</v>
      </c>
      <c r="K161" s="7" t="s">
        <v>57</v>
      </c>
      <c r="L161" s="7" t="s">
        <v>41</v>
      </c>
    </row>
    <row r="162" spans="1:12" x14ac:dyDescent="0.2">
      <c r="A162" s="6" t="s">
        <v>444</v>
      </c>
      <c r="B162" s="7" t="s">
        <v>13</v>
      </c>
      <c r="C162" s="9">
        <v>2.032876712328767</v>
      </c>
      <c r="D162" s="8">
        <v>66955.899999999994</v>
      </c>
      <c r="E162" s="7" t="s">
        <v>54</v>
      </c>
      <c r="F162" t="s">
        <v>445</v>
      </c>
      <c r="G162" s="7" t="s">
        <v>38</v>
      </c>
      <c r="H162" t="s">
        <v>17</v>
      </c>
      <c r="I162" t="s">
        <v>44</v>
      </c>
      <c r="J162" s="7" t="s">
        <v>446</v>
      </c>
      <c r="K162" s="7" t="s">
        <v>57</v>
      </c>
      <c r="L162" s="7" t="s">
        <v>41</v>
      </c>
    </row>
    <row r="163" spans="1:12" x14ac:dyDescent="0.2">
      <c r="A163" s="6" t="s">
        <v>447</v>
      </c>
      <c r="B163" s="7" t="s">
        <v>13</v>
      </c>
      <c r="C163" s="9">
        <v>1.9561643835616438</v>
      </c>
      <c r="D163" s="8">
        <v>58840.5</v>
      </c>
      <c r="E163" s="7" t="s">
        <v>14</v>
      </c>
      <c r="F163" t="s">
        <v>340</v>
      </c>
      <c r="G163" s="7" t="s">
        <v>38</v>
      </c>
      <c r="H163" t="s">
        <v>17</v>
      </c>
      <c r="I163" t="s">
        <v>44</v>
      </c>
      <c r="J163" s="7" t="s">
        <v>448</v>
      </c>
      <c r="K163" s="7" t="s">
        <v>57</v>
      </c>
      <c r="L163" s="7" t="s">
        <v>41</v>
      </c>
    </row>
    <row r="164" spans="1:12" x14ac:dyDescent="0.2">
      <c r="A164" s="6" t="s">
        <v>449</v>
      </c>
      <c r="B164" s="7" t="s">
        <v>13</v>
      </c>
      <c r="C164" s="9">
        <v>2.032876712328767</v>
      </c>
      <c r="D164" s="8">
        <v>58760.1</v>
      </c>
      <c r="E164" s="7" t="s">
        <v>54</v>
      </c>
      <c r="F164" t="s">
        <v>159</v>
      </c>
      <c r="G164" s="7" t="s">
        <v>38</v>
      </c>
      <c r="H164" t="s">
        <v>17</v>
      </c>
      <c r="I164" t="s">
        <v>44</v>
      </c>
      <c r="J164" s="7" t="s">
        <v>450</v>
      </c>
      <c r="K164" s="7" t="s">
        <v>57</v>
      </c>
      <c r="L164" s="7" t="s">
        <v>41</v>
      </c>
    </row>
    <row r="165" spans="1:12" x14ac:dyDescent="0.2">
      <c r="A165" s="6" t="s">
        <v>451</v>
      </c>
      <c r="B165" s="7" t="s">
        <v>13</v>
      </c>
      <c r="C165" s="9">
        <v>1.9369863013698629</v>
      </c>
      <c r="D165" s="8">
        <v>48494.8</v>
      </c>
      <c r="E165" s="7" t="s">
        <v>54</v>
      </c>
      <c r="F165" t="s">
        <v>434</v>
      </c>
      <c r="G165" s="7" t="s">
        <v>38</v>
      </c>
      <c r="H165" t="s">
        <v>17</v>
      </c>
      <c r="I165" t="s">
        <v>44</v>
      </c>
      <c r="J165" s="7" t="s">
        <v>452</v>
      </c>
      <c r="K165" s="7" t="s">
        <v>57</v>
      </c>
      <c r="L165" s="7" t="s">
        <v>41</v>
      </c>
    </row>
    <row r="166" spans="1:12" x14ac:dyDescent="0.2">
      <c r="A166" s="6" t="s">
        <v>453</v>
      </c>
      <c r="B166" s="7" t="s">
        <v>13</v>
      </c>
      <c r="C166" s="9">
        <v>1.9945205479452055</v>
      </c>
      <c r="D166" s="8">
        <v>161661.5</v>
      </c>
      <c r="E166" s="7" t="s">
        <v>54</v>
      </c>
      <c r="F166" t="s">
        <v>259</v>
      </c>
      <c r="G166" s="7" t="s">
        <v>38</v>
      </c>
      <c r="H166" t="s">
        <v>17</v>
      </c>
      <c r="I166" t="s">
        <v>44</v>
      </c>
      <c r="J166" s="7" t="s">
        <v>454</v>
      </c>
      <c r="K166" s="7" t="s">
        <v>57</v>
      </c>
      <c r="L166" s="7" t="s">
        <v>41</v>
      </c>
    </row>
    <row r="167" spans="1:12" x14ac:dyDescent="0.2">
      <c r="A167" s="6" t="s">
        <v>455</v>
      </c>
      <c r="B167" s="7" t="s">
        <v>13</v>
      </c>
      <c r="C167" s="9">
        <v>1.9753424657534246</v>
      </c>
      <c r="D167" s="8">
        <v>173667.8</v>
      </c>
      <c r="E167" s="7" t="s">
        <v>54</v>
      </c>
      <c r="F167" t="s">
        <v>259</v>
      </c>
      <c r="G167" s="7" t="s">
        <v>38</v>
      </c>
      <c r="H167" t="s">
        <v>17</v>
      </c>
      <c r="I167" t="s">
        <v>44</v>
      </c>
      <c r="J167" s="7" t="s">
        <v>456</v>
      </c>
      <c r="K167" s="7" t="s">
        <v>310</v>
      </c>
      <c r="L167" s="7" t="s">
        <v>41</v>
      </c>
    </row>
    <row r="168" spans="1:12" x14ac:dyDescent="0.2">
      <c r="A168" s="6" t="s">
        <v>457</v>
      </c>
      <c r="B168" s="7" t="s">
        <v>13</v>
      </c>
      <c r="C168" s="9">
        <v>2.0712328767123287</v>
      </c>
      <c r="D168" s="8">
        <v>83782.600000000006</v>
      </c>
      <c r="E168" s="7" t="s">
        <v>54</v>
      </c>
      <c r="F168" t="s">
        <v>458</v>
      </c>
      <c r="G168" s="7" t="s">
        <v>38</v>
      </c>
      <c r="H168" t="s">
        <v>17</v>
      </c>
      <c r="I168" t="s">
        <v>44</v>
      </c>
      <c r="J168" s="7" t="s">
        <v>459</v>
      </c>
      <c r="K168" s="7" t="s">
        <v>57</v>
      </c>
      <c r="L168" s="7" t="s">
        <v>41</v>
      </c>
    </row>
    <row r="169" spans="1:12" x14ac:dyDescent="0.2">
      <c r="A169" s="6" t="s">
        <v>460</v>
      </c>
      <c r="B169" s="7" t="s">
        <v>13</v>
      </c>
      <c r="C169" s="9">
        <v>2.128767123287671</v>
      </c>
      <c r="D169" s="8">
        <v>54766.2</v>
      </c>
      <c r="E169" s="7" t="s">
        <v>54</v>
      </c>
      <c r="F169" t="s">
        <v>54</v>
      </c>
      <c r="G169" s="7" t="s">
        <v>38</v>
      </c>
      <c r="H169" t="s">
        <v>17</v>
      </c>
      <c r="I169" t="s">
        <v>44</v>
      </c>
      <c r="J169" s="7" t="s">
        <v>461</v>
      </c>
      <c r="K169" s="7" t="s">
        <v>57</v>
      </c>
      <c r="L169" s="7" t="s">
        <v>41</v>
      </c>
    </row>
    <row r="170" spans="1:12" x14ac:dyDescent="0.2">
      <c r="A170" s="6" t="s">
        <v>462</v>
      </c>
      <c r="B170" s="7" t="s">
        <v>13</v>
      </c>
      <c r="C170" s="9">
        <v>2.128767123287671</v>
      </c>
      <c r="D170" s="8">
        <v>45042.6</v>
      </c>
      <c r="E170" s="7" t="s">
        <v>54</v>
      </c>
      <c r="F170" t="s">
        <v>463</v>
      </c>
      <c r="G170" s="7" t="s">
        <v>38</v>
      </c>
      <c r="H170" t="s">
        <v>17</v>
      </c>
      <c r="I170" t="s">
        <v>44</v>
      </c>
      <c r="J170" s="7" t="s">
        <v>464</v>
      </c>
      <c r="K170" s="7" t="s">
        <v>57</v>
      </c>
      <c r="L170" s="7" t="s">
        <v>41</v>
      </c>
    </row>
    <row r="171" spans="1:12" x14ac:dyDescent="0.2">
      <c r="A171" s="6" t="s">
        <v>465</v>
      </c>
      <c r="B171" s="7" t="s">
        <v>13</v>
      </c>
      <c r="C171" s="9">
        <v>2.0520547945205481</v>
      </c>
      <c r="D171" s="8">
        <v>77604.399999999994</v>
      </c>
      <c r="E171" s="7" t="s">
        <v>54</v>
      </c>
      <c r="F171" t="s">
        <v>458</v>
      </c>
      <c r="G171" s="7" t="s">
        <v>38</v>
      </c>
      <c r="H171" t="s">
        <v>17</v>
      </c>
      <c r="I171" t="s">
        <v>44</v>
      </c>
      <c r="J171" s="7" t="s">
        <v>466</v>
      </c>
      <c r="K171" s="7" t="s">
        <v>57</v>
      </c>
      <c r="L171" s="7" t="s">
        <v>41</v>
      </c>
    </row>
    <row r="172" spans="1:12" x14ac:dyDescent="0.2">
      <c r="A172" s="6" t="s">
        <v>467</v>
      </c>
      <c r="B172" s="7" t="s">
        <v>13</v>
      </c>
      <c r="C172" s="9">
        <v>2.0904109589041098</v>
      </c>
      <c r="D172" s="8">
        <v>70316.800000000003</v>
      </c>
      <c r="E172" s="7" t="s">
        <v>54</v>
      </c>
      <c r="F172" t="s">
        <v>159</v>
      </c>
      <c r="G172" s="7" t="s">
        <v>38</v>
      </c>
      <c r="H172" t="s">
        <v>17</v>
      </c>
      <c r="I172" t="s">
        <v>44</v>
      </c>
      <c r="J172" s="7" t="s">
        <v>468</v>
      </c>
      <c r="K172" s="7" t="s">
        <v>57</v>
      </c>
      <c r="L172" s="7" t="s">
        <v>41</v>
      </c>
    </row>
    <row r="173" spans="1:12" x14ac:dyDescent="0.2">
      <c r="A173" s="6" t="s">
        <v>469</v>
      </c>
      <c r="B173" s="7" t="s">
        <v>13</v>
      </c>
      <c r="C173" s="9">
        <v>2.032876712328767</v>
      </c>
      <c r="D173" s="8">
        <v>28690.7</v>
      </c>
      <c r="E173" s="7" t="s">
        <v>14</v>
      </c>
      <c r="F173" t="s">
        <v>229</v>
      </c>
      <c r="G173" s="7" t="s">
        <v>43</v>
      </c>
      <c r="H173" t="s">
        <v>17</v>
      </c>
      <c r="I173" t="s">
        <v>44</v>
      </c>
      <c r="J173" s="7" t="s">
        <v>470</v>
      </c>
      <c r="K173" s="7" t="s">
        <v>20</v>
      </c>
      <c r="L173" s="7" t="s">
        <v>41</v>
      </c>
    </row>
    <row r="174" spans="1:12" x14ac:dyDescent="0.2">
      <c r="A174" s="6" t="s">
        <v>471</v>
      </c>
      <c r="B174" s="7" t="s">
        <v>13</v>
      </c>
      <c r="C174" s="9">
        <v>2.0136986301369864</v>
      </c>
      <c r="D174" s="8">
        <v>25440.2</v>
      </c>
      <c r="E174" s="7" t="s">
        <v>23</v>
      </c>
      <c r="F174" t="s">
        <v>134</v>
      </c>
      <c r="G174" s="7" t="s">
        <v>43</v>
      </c>
      <c r="H174" t="s">
        <v>17</v>
      </c>
      <c r="I174" t="s">
        <v>44</v>
      </c>
      <c r="J174" s="7" t="s">
        <v>472</v>
      </c>
      <c r="K174" s="7" t="s">
        <v>20</v>
      </c>
      <c r="L174" s="7" t="s">
        <v>41</v>
      </c>
    </row>
    <row r="175" spans="1:12" x14ac:dyDescent="0.2">
      <c r="A175" s="6" t="s">
        <v>473</v>
      </c>
      <c r="B175" s="7" t="s">
        <v>13</v>
      </c>
      <c r="C175" s="9">
        <v>1.9945205479452055</v>
      </c>
      <c r="D175" s="8">
        <v>22440.400000000001</v>
      </c>
      <c r="E175" s="7" t="s">
        <v>23</v>
      </c>
      <c r="F175" t="s">
        <v>134</v>
      </c>
      <c r="G175" s="7" t="s">
        <v>43</v>
      </c>
      <c r="H175" t="s">
        <v>17</v>
      </c>
      <c r="I175" t="s">
        <v>44</v>
      </c>
      <c r="J175" s="7" t="s">
        <v>474</v>
      </c>
      <c r="K175" s="7" t="s">
        <v>20</v>
      </c>
      <c r="L175" s="7" t="s">
        <v>41</v>
      </c>
    </row>
    <row r="176" spans="1:12" x14ac:dyDescent="0.2">
      <c r="A176" s="6" t="s">
        <v>475</v>
      </c>
      <c r="B176" s="7" t="s">
        <v>13</v>
      </c>
      <c r="C176" s="9">
        <v>2.0136986301369864</v>
      </c>
      <c r="D176" s="8">
        <v>26539.7</v>
      </c>
      <c r="E176" s="7" t="s">
        <v>23</v>
      </c>
      <c r="F176" t="s">
        <v>24</v>
      </c>
      <c r="G176" s="7" t="s">
        <v>43</v>
      </c>
      <c r="H176" t="s">
        <v>17</v>
      </c>
      <c r="I176" t="s">
        <v>44</v>
      </c>
      <c r="J176" s="7" t="s">
        <v>476</v>
      </c>
      <c r="K176" s="7" t="s">
        <v>20</v>
      </c>
      <c r="L176" s="7" t="s">
        <v>41</v>
      </c>
    </row>
    <row r="177" spans="1:12" x14ac:dyDescent="0.2">
      <c r="A177" s="6" t="s">
        <v>477</v>
      </c>
      <c r="B177" s="7" t="s">
        <v>13</v>
      </c>
      <c r="C177" s="9">
        <v>1.9369863013698629</v>
      </c>
      <c r="D177" s="8">
        <v>28889.7</v>
      </c>
      <c r="E177" s="7" t="s">
        <v>23</v>
      </c>
      <c r="F177" t="s">
        <v>134</v>
      </c>
      <c r="G177" s="7" t="s">
        <v>43</v>
      </c>
      <c r="H177" t="s">
        <v>17</v>
      </c>
      <c r="I177" t="s">
        <v>44</v>
      </c>
      <c r="J177" s="7" t="s">
        <v>478</v>
      </c>
      <c r="K177" s="7" t="s">
        <v>20</v>
      </c>
      <c r="L177" s="7" t="s">
        <v>41</v>
      </c>
    </row>
    <row r="178" spans="1:12" x14ac:dyDescent="0.2">
      <c r="A178" s="6" t="s">
        <v>479</v>
      </c>
      <c r="B178" s="7" t="s">
        <v>13</v>
      </c>
      <c r="C178" s="9">
        <v>1.9753424657534246</v>
      </c>
      <c r="D178" s="8">
        <v>84191.3</v>
      </c>
      <c r="E178" s="7" t="s">
        <v>14</v>
      </c>
      <c r="F178" t="s">
        <v>333</v>
      </c>
      <c r="G178" s="7" t="s">
        <v>38</v>
      </c>
      <c r="H178" t="s">
        <v>17</v>
      </c>
      <c r="I178" t="s">
        <v>44</v>
      </c>
      <c r="J178" s="7" t="s">
        <v>480</v>
      </c>
      <c r="K178" s="7" t="s">
        <v>57</v>
      </c>
      <c r="L178" s="7" t="s">
        <v>41</v>
      </c>
    </row>
    <row r="179" spans="1:12" x14ac:dyDescent="0.2">
      <c r="A179" s="6" t="s">
        <v>481</v>
      </c>
      <c r="B179" s="7" t="s">
        <v>13</v>
      </c>
      <c r="C179" s="9">
        <v>2.032876712328767</v>
      </c>
      <c r="D179" s="8">
        <v>32982.400000000001</v>
      </c>
      <c r="E179" s="7" t="s">
        <v>27</v>
      </c>
      <c r="F179" t="s">
        <v>103</v>
      </c>
      <c r="G179" s="7" t="s">
        <v>38</v>
      </c>
      <c r="H179" t="s">
        <v>17</v>
      </c>
      <c r="I179" t="s">
        <v>44</v>
      </c>
      <c r="J179" s="7" t="s">
        <v>482</v>
      </c>
      <c r="K179" s="7" t="s">
        <v>57</v>
      </c>
      <c r="L179" s="7" t="s">
        <v>41</v>
      </c>
    </row>
    <row r="180" spans="1:12" x14ac:dyDescent="0.2">
      <c r="A180" s="6" t="s">
        <v>483</v>
      </c>
      <c r="B180" s="7" t="s">
        <v>13</v>
      </c>
      <c r="C180" s="9">
        <v>2.0520547945205481</v>
      </c>
      <c r="D180" s="8">
        <v>40911.199999999997</v>
      </c>
      <c r="E180" s="7" t="s">
        <v>23</v>
      </c>
      <c r="F180" t="s">
        <v>134</v>
      </c>
      <c r="G180" s="7" t="s">
        <v>38</v>
      </c>
      <c r="H180" t="s">
        <v>17</v>
      </c>
      <c r="I180" t="s">
        <v>44</v>
      </c>
      <c r="J180" s="7" t="s">
        <v>484</v>
      </c>
      <c r="K180" s="7" t="s">
        <v>57</v>
      </c>
      <c r="L180" s="7" t="s">
        <v>41</v>
      </c>
    </row>
    <row r="181" spans="1:12" x14ac:dyDescent="0.2">
      <c r="A181" s="6" t="s">
        <v>485</v>
      </c>
      <c r="B181" s="7" t="s">
        <v>13</v>
      </c>
      <c r="C181" s="9">
        <v>2.128767123287671</v>
      </c>
      <c r="D181" s="8">
        <v>13832.3</v>
      </c>
      <c r="E181" s="7" t="s">
        <v>23</v>
      </c>
      <c r="F181" t="s">
        <v>24</v>
      </c>
      <c r="G181" s="7" t="s">
        <v>38</v>
      </c>
      <c r="H181" t="s">
        <v>17</v>
      </c>
      <c r="I181" t="s">
        <v>44</v>
      </c>
      <c r="J181" s="7" t="s">
        <v>486</v>
      </c>
      <c r="K181" s="7" t="s">
        <v>20</v>
      </c>
      <c r="L181" s="7" t="s">
        <v>41</v>
      </c>
    </row>
    <row r="182" spans="1:12" x14ac:dyDescent="0.2">
      <c r="A182" s="6" t="s">
        <v>487</v>
      </c>
      <c r="B182" s="7" t="s">
        <v>13</v>
      </c>
      <c r="C182" s="9">
        <v>2.0520547945205481</v>
      </c>
      <c r="D182" s="8">
        <v>80753.600000000006</v>
      </c>
      <c r="E182" s="7" t="s">
        <v>54</v>
      </c>
      <c r="F182" t="s">
        <v>207</v>
      </c>
      <c r="G182" s="7" t="s">
        <v>38</v>
      </c>
      <c r="H182" t="s">
        <v>17</v>
      </c>
      <c r="I182" t="s">
        <v>44</v>
      </c>
      <c r="J182" s="7" t="s">
        <v>488</v>
      </c>
      <c r="K182" s="7" t="s">
        <v>310</v>
      </c>
      <c r="L182" s="7" t="s">
        <v>41</v>
      </c>
    </row>
    <row r="183" spans="1:12" x14ac:dyDescent="0.2">
      <c r="A183" s="6" t="s">
        <v>489</v>
      </c>
      <c r="B183" s="7" t="s">
        <v>13</v>
      </c>
      <c r="C183" s="9">
        <v>1.9369863013698629</v>
      </c>
      <c r="D183" s="8">
        <v>49708.9</v>
      </c>
      <c r="E183" s="7" t="s">
        <v>54</v>
      </c>
      <c r="F183" t="s">
        <v>288</v>
      </c>
      <c r="G183" s="7" t="s">
        <v>38</v>
      </c>
      <c r="H183" t="s">
        <v>17</v>
      </c>
      <c r="I183" t="s">
        <v>44</v>
      </c>
      <c r="J183" s="7" t="s">
        <v>490</v>
      </c>
      <c r="K183" s="7" t="s">
        <v>57</v>
      </c>
      <c r="L183" s="7" t="s">
        <v>41</v>
      </c>
    </row>
    <row r="184" spans="1:12" x14ac:dyDescent="0.2">
      <c r="A184" s="6" t="s">
        <v>491</v>
      </c>
      <c r="B184" s="7" t="s">
        <v>13</v>
      </c>
      <c r="C184" s="9">
        <v>2.0712328767123287</v>
      </c>
      <c r="D184" s="8">
        <v>77466.600000000006</v>
      </c>
      <c r="E184" s="7" t="s">
        <v>54</v>
      </c>
      <c r="F184" t="s">
        <v>458</v>
      </c>
      <c r="G184" s="7" t="s">
        <v>38</v>
      </c>
      <c r="H184" t="s">
        <v>17</v>
      </c>
      <c r="I184" t="s">
        <v>44</v>
      </c>
      <c r="J184" s="7" t="s">
        <v>492</v>
      </c>
      <c r="K184" s="7" t="s">
        <v>57</v>
      </c>
      <c r="L184" s="7" t="s">
        <v>41</v>
      </c>
    </row>
    <row r="185" spans="1:12" x14ac:dyDescent="0.2">
      <c r="A185" s="6" t="s">
        <v>493</v>
      </c>
      <c r="B185" s="7" t="s">
        <v>13</v>
      </c>
      <c r="C185" s="9">
        <v>1.9945205479452055</v>
      </c>
      <c r="D185" s="8">
        <v>75333.3</v>
      </c>
      <c r="E185" s="7" t="s">
        <v>54</v>
      </c>
      <c r="F185" t="s">
        <v>201</v>
      </c>
      <c r="G185" s="7" t="s">
        <v>38</v>
      </c>
      <c r="H185" t="s">
        <v>17</v>
      </c>
      <c r="I185" t="s">
        <v>44</v>
      </c>
      <c r="J185" s="7" t="s">
        <v>494</v>
      </c>
      <c r="K185" s="7" t="s">
        <v>57</v>
      </c>
      <c r="L185" s="7" t="s">
        <v>41</v>
      </c>
    </row>
    <row r="186" spans="1:12" x14ac:dyDescent="0.2">
      <c r="A186" s="6" t="s">
        <v>495</v>
      </c>
      <c r="B186" s="7" t="s">
        <v>13</v>
      </c>
      <c r="C186" s="9">
        <v>2.128767123287671</v>
      </c>
      <c r="D186" s="8">
        <v>84980.4</v>
      </c>
      <c r="E186" s="7" t="s">
        <v>54</v>
      </c>
      <c r="F186" t="s">
        <v>159</v>
      </c>
      <c r="G186" s="7" t="s">
        <v>38</v>
      </c>
      <c r="H186" t="s">
        <v>17</v>
      </c>
      <c r="I186" t="s">
        <v>44</v>
      </c>
      <c r="J186" s="7" t="s">
        <v>496</v>
      </c>
      <c r="K186" s="7" t="s">
        <v>310</v>
      </c>
      <c r="L186" s="7" t="s">
        <v>41</v>
      </c>
    </row>
    <row r="187" spans="1:12" x14ac:dyDescent="0.2">
      <c r="A187" s="6" t="s">
        <v>497</v>
      </c>
      <c r="B187" s="7" t="s">
        <v>416</v>
      </c>
      <c r="C187" s="9">
        <v>0.90410958904109584</v>
      </c>
      <c r="D187" s="8">
        <v>24016.400000000001</v>
      </c>
      <c r="E187" s="7" t="s">
        <v>54</v>
      </c>
      <c r="F187" t="s">
        <v>159</v>
      </c>
      <c r="G187" s="7" t="s">
        <v>63</v>
      </c>
      <c r="H187" t="s">
        <v>17</v>
      </c>
      <c r="I187" t="s">
        <v>44</v>
      </c>
      <c r="J187" s="7" t="s">
        <v>498</v>
      </c>
      <c r="K187" s="7" t="s">
        <v>57</v>
      </c>
      <c r="L187" s="7" t="s">
        <v>41</v>
      </c>
    </row>
    <row r="188" spans="1:12" x14ac:dyDescent="0.2">
      <c r="A188" s="6" t="s">
        <v>499</v>
      </c>
      <c r="B188" s="7" t="s">
        <v>13</v>
      </c>
      <c r="C188" s="9">
        <v>1.3260273972602741</v>
      </c>
      <c r="D188" s="8">
        <v>32714</v>
      </c>
      <c r="E188" s="7" t="s">
        <v>500</v>
      </c>
      <c r="F188" t="s">
        <v>501</v>
      </c>
      <c r="G188" s="7" t="s">
        <v>176</v>
      </c>
      <c r="H188" t="s">
        <v>17</v>
      </c>
      <c r="I188" t="s">
        <v>39</v>
      </c>
      <c r="J188" s="7" t="s">
        <v>115</v>
      </c>
      <c r="K188" s="7" t="s">
        <v>57</v>
      </c>
      <c r="L188" s="7" t="s">
        <v>41</v>
      </c>
    </row>
    <row r="189" spans="1:12" x14ac:dyDescent="0.2">
      <c r="A189" s="6" t="s">
        <v>502</v>
      </c>
      <c r="B189" s="7" t="s">
        <v>13</v>
      </c>
      <c r="C189" s="9">
        <v>1.3808219178082193</v>
      </c>
      <c r="D189" s="8">
        <v>38638.800000000003</v>
      </c>
      <c r="E189" s="7" t="s">
        <v>500</v>
      </c>
      <c r="F189" t="s">
        <v>501</v>
      </c>
      <c r="G189" s="7" t="s">
        <v>176</v>
      </c>
      <c r="H189" t="s">
        <v>17</v>
      </c>
      <c r="I189" t="s">
        <v>39</v>
      </c>
      <c r="J189" s="7" t="s">
        <v>115</v>
      </c>
      <c r="K189" s="7" t="s">
        <v>20</v>
      </c>
      <c r="L189" s="7" t="s">
        <v>41</v>
      </c>
    </row>
    <row r="190" spans="1:12" x14ac:dyDescent="0.2">
      <c r="A190" s="6" t="s">
        <v>503</v>
      </c>
      <c r="B190" s="7" t="s">
        <v>13</v>
      </c>
      <c r="C190" s="9">
        <v>1.3260273972602741</v>
      </c>
      <c r="D190" s="8">
        <v>17840.8</v>
      </c>
      <c r="E190" s="7" t="s">
        <v>500</v>
      </c>
      <c r="F190" t="s">
        <v>501</v>
      </c>
      <c r="G190" s="7" t="s">
        <v>176</v>
      </c>
      <c r="H190" t="s">
        <v>17</v>
      </c>
      <c r="I190" t="s">
        <v>39</v>
      </c>
      <c r="J190" s="7" t="s">
        <v>115</v>
      </c>
      <c r="K190" s="7" t="s">
        <v>57</v>
      </c>
      <c r="L190" s="7" t="s">
        <v>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1CFE602A9B741B7A12B704111E8C8" ma:contentTypeVersion="4" ma:contentTypeDescription="Create a new document." ma:contentTypeScope="" ma:versionID="5e11931c639ba2e5b4663979345029e3">
  <xsd:schema xmlns:xsd="http://www.w3.org/2001/XMLSchema" xmlns:xs="http://www.w3.org/2001/XMLSchema" xmlns:p="http://schemas.microsoft.com/office/2006/metadata/properties" xmlns:ns2="fccae7f7-a67a-4d84-aa91-808a81695022" targetNamespace="http://schemas.microsoft.com/office/2006/metadata/properties" ma:root="true" ma:fieldsID="c6d0b299cc2b1b221337b017e73ee426" ns2:_="">
    <xsd:import namespace="fccae7f7-a67a-4d84-aa91-808a81695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ae7f7-a67a-4d84-aa91-808a81695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A51A6-2206-4B57-A7DB-50A5EED44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ae7f7-a67a-4d84-aa91-808a81695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D96D27-4BE7-40D2-91E2-7D72BCA8AD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967900-2F27-4AF3-B345-EF3401921389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Rio Tinto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Samarasinghe, Mahen (RTIO-WORKPAC)</dc:creator>
  <cp:keywords/>
  <dc:description/>
  <cp:lastModifiedBy>Yifu Ding</cp:lastModifiedBy>
  <cp:revision/>
  <dcterms:created xsi:type="dcterms:W3CDTF">2024-08-14T05:12:15Z</dcterms:created>
  <dcterms:modified xsi:type="dcterms:W3CDTF">2025-01-05T21:13:34Z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0x01010029D1CFE602A9B741B7A12B704111E8C8</vt:lpwstr>
  </property>
</Properties>
</file>